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5b4808dc524ebb" /></Relationships>
</file>

<file path=xl/workbook.xml><?xml version="1.0" encoding="utf-8"?>
<x:workbook xmlns:x="http://schemas.openxmlformats.org/spreadsheetml/2006/main">
  <x:sheets>
    <x:sheet xmlns:r="http://schemas.openxmlformats.org/officeDocument/2006/relationships" name="요약" sheetId="1" r:id="R03dfa7e44b2542c7"/>
    <x:sheet xmlns:r="http://schemas.openxmlformats.org/officeDocument/2006/relationships" name="WBS 작업목록" sheetId="2" r:id="Rf1103b6b3ed24b36"/>
    <x:sheet xmlns:r="http://schemas.openxmlformats.org/officeDocument/2006/relationships" name="WBS 갠트차트" sheetId="3" r:id="R55f2efcd78e44d74"/>
    <x:sheet xmlns:r="http://schemas.openxmlformats.org/officeDocument/2006/relationships" name="코드목록" sheetId="4" r:id="R5c6ff881f8d145ed"/>
  </x:sheets>
</x:workbook>
</file>

<file path=xl/sharedStrings.xml><?xml version="1.0" encoding="utf-8"?>
<x:sst xmlns:x="http://schemas.openxmlformats.org/spreadsheetml/2006/main">
  <x:si>
    <x:t xml:space="preserve">프로젝트 범위</x:t>
  </x:si>
  <x:si>
    <x:t xml:space="preserve">전체 작업</x:t>
  </x:si>
  <x:si>
    <x:t xml:space="preserve">P0 작업</x:t>
  </x:si>
  <x:si>
    <x:t xml:space="preserve">P0 공수</x:t>
  </x:si>
  <x:si>
    <x:t xml:space="preserve">완료 작업</x:t>
  </x:si>
  <x:si>
    <x:t xml:space="preserve">프로젝트 기간</x:t>
  </x:si>
  <x:si>
    <x:t xml:space="preserve">2026-07-17 ~ 2026-09-03</x:t>
  </x:si>
  <x:si>
    <x:t xml:space="preserve">P0 실작업 완료</x:t>
  </x:si>
  <x:si>
    <x:t xml:space="preserve">2026-09-02</x:t>
  </x:si>
  <x:si>
    <x:t xml:space="preserve">최종 발표</x:t>
  </x:si>
  <x:si>
    <x:t xml:space="preserve">2026-09-03 (발표만 진행)</x:t>
  </x:si>
  <x:si>
    <x:t xml:space="preserve">P1</x:t>
  </x:si>
  <x:si>
    <x:t xml:space="preserve">9/4~9/9 후속 로드맵</x:t>
  </x:si>
  <x:si>
    <x:t xml:space="preserve">진행 중</x:t>
  </x:si>
  <x:si>
    <x:t xml:space="preserve">전체 공수</x:t>
  </x:si>
  <x:si>
    <x:t xml:space="preserve">P1 로드맵</x:t>
  </x:si>
  <x:si>
    <x:t xml:space="preserve">평균 진행률</x:t>
  </x:si>
  <x:si>
    <x:t xml:space="preserve">기본 MVP</x:t>
  </x:si>
  <x:si>
    <x:t xml:space="preserve">WPUJAC104DWH / WPU-JAC104D·JCC104D REV.00</x:t>
  </x:si>
  <x:si>
    <x:t xml:space="preserve">후속 확장</x:t>
  </x:si>
  <x:si>
    <x:t xml:space="preserve">WPUIAC425SNW / MVP 비노출</x:t>
  </x:si>
  <x:si>
    <x:t xml:space="preserve">대표 시연</x:t>
  </x:si>
  <x:si>
    <x:t xml:space="preserve">SYN-JAC104-002 · DEMO-INQ-002 · 출수량 저하 · p.38</x:t>
  </x:si>
  <x:si>
    <x:t xml:space="preserve">현재 상태</x:t>
  </x:si>
  <x:si>
    <x:t xml:space="preserve">기획·화면·데이터 정합성 반영 및 기반 구현 진행 중</x:t>
  </x:si>
  <x:si>
    <x:t xml:space="preserve">담당 역할</x:t>
  </x:si>
  <x:si>
    <x:t xml:space="preserve">작업 수</x:t>
  </x:si>
  <x:si>
    <x:t xml:space="preserve">공수(인일)</x:t>
  </x:si>
  <x:si>
    <x:t xml:space="preserve">상태</x:t>
  </x:si>
  <x:si>
    <x:t xml:space="preserve">PM·기술 통합</x:t>
  </x:si>
  <x:si>
    <x:t xml:space="preserve">미착수</x:t>
  </x:si>
  <x:si>
    <x:t xml:space="preserve">모바일 앱 개발</x:t>
  </x:si>
  <x:si>
    <x:t xml:space="preserve">웹 프론트엔드</x:t>
  </x:si>
  <x:si>
    <x:t xml:space="preserve">완료</x:t>
  </x:si>
  <x:si>
    <x:t xml:space="preserve">백엔드·데이터베이스</x:t>
  </x:si>
  <x:si>
    <x:t xml:space="preserve">보류</x:t>
  </x:si>
  <x:si>
    <x:t xml:space="preserve">AI·RAG</x:t>
  </x:si>
  <x:si>
    <x:t xml:space="preserve">차단</x:t>
  </x:si>
  <x:si>
    <x:t xml:space="preserve">데이터·QA·DevOps</x:t>
  </x:si>
  <x:si>
    <x:t xml:space="preserve">핵심 확정 사항 및 WBS 반영 내용</x:t>
  </x:si>
  <x:si>
    <x:t xml:space="preserve">모델 범위</x:t>
  </x:si>
  <x:si>
    <x:t xml:space="preserve">MVP WPUJAC104DWH 고정, WPUIAC425SNW 후속 확장, WPU-IAC506 removed_legacy 및 신규 데이터·RAG·화면·시연 사용 금지</x:t>
  </x:si>
  <x:si>
    <x:t xml:space="preserve">대표 증상</x:t>
  </x:si>
  <x:si>
    <x:t xml:space="preserve">출수량 저하, 물맛·냄새 이상, 제품 누수, 냉·온수 온도 이상 4종</x:t>
  </x:si>
  <x:si>
    <x:t xml:space="preserve">역할 체계</x:t>
  </x:si>
  <x:si>
    <x:t xml:space="preserve">PM·기술 통합 / 모바일 앱 / 웹 프론트엔드 / 백엔드·DB / AI·RAG / 데이터·QA·DevOps 6개 역할</x:t>
  </x:si>
  <x:si>
    <x:t xml:space="preserve">AI 구조</x:t>
  </x:si>
  <x:si>
    <x:t xml:space="preserve">단일 RAG 기준선과 선택형 책임 분리 구조를 비교한 뒤 최종 실행 구조 확정</x:t>
  </x:si>
  <x:si>
    <x:t xml:space="preserve">사용 안내 필드</x:t>
  </x:si>
  <x:si>
    <x:t xml:space="preserve">usage_guidance_status · usage_guidance_message · restricted_functions · evidence · next_action · requires_consultation</x:t>
  </x:si>
  <x:si>
    <x:t xml:space="preserve">상태 관리</x:t>
  </x:si>
  <x:si>
    <x:t xml:space="preserve">allowed_actions, state_version, idempotency_key, correlation_id와 담당자 권한을 백엔드 State Machine에서 검증</x:t>
  </x:si>
  <x:si>
    <x:t xml:space="preserve">완료 정책</x:t>
  </x:si>
  <x:si>
    <x:t xml:space="preserve">자가조치 단독 해결은 즉시 RESOLVED, 상담·방문 경로는 COMPLETION_PENDING 후 담당자가 FINALIZE_INQUIRY</x:t>
  </x:si>
  <x:si>
    <x:t xml:space="preserve">근거 전달</x:t>
  </x:si>
  <x:si>
    <x:t xml:space="preserve">RAG·근거 레지스트리·문서 계보를 결합한 EvidenceCardDTO를 화면에 전달하고 내부 경로·원문 전체는 비노출</x:t>
  </x:si>
  <x:si>
    <x:t xml:space="preserve">주차별 목표</x:t>
  </x:si>
  <x:si>
    <x:t xml:space="preserve">1주차</x:t>
  </x:si>
  <x:si>
    <x:t xml:space="preserve">7/17</x:t>
  </x:si>
  <x:si>
    <x:t xml:space="preserve">프로젝트 착수, P0·제외 범위와 MVP 모델·대표 증상 확정</x:t>
  </x:si>
  <x:si>
    <x:t xml:space="preserve">2주차</x:t>
  </x:si>
  <x:si>
    <x:t xml:space="preserve">7/20~7/24</x:t>
  </x:si>
  <x:si>
    <x:t xml:space="preserve">서비스 흐름·역할·아키텍처·화면·데이터·안전 규칙 정합성 확정</x:t>
  </x:si>
  <x:si>
    <x:t xml:space="preserve">3주차</x:t>
  </x:si>
  <x:si>
    <x:t xml:space="preserve">7/27~7/31</x:t>
  </x:si>
  <x:si>
    <x:t xml:space="preserve">DB·State Machine·문서 전처리·평가 세트·합성 데이터 기반 구축</x:t>
  </x:si>
  <x:si>
    <x:t xml:space="preserve">4주차</x:t>
  </x:si>
  <x:si>
    <x:t xml:space="preserve">8/3~8/7</x:t>
  </x:si>
  <x:si>
    <x:t xml:space="preserve">5주차</x:t>
  </x:si>
  <x:si>
    <x:t xml:space="preserve">8/10~8/14</x:t>
  </x:si>
  <x:si>
    <x:t xml:space="preserve">단일 RAG/선택형 책임 분리 비교, 위험 분류·Guard·Fallback·근거 DTO 구현</x:t>
  </x:si>
  <x:si>
    <x:t xml:space="preserve">6주차</x:t>
  </x:si>
  <x:si>
    <x:t xml:space="preserve">8/18~8/21</x:t>
  </x:si>
  <x:si>
    <x:t xml:space="preserve">고객 모바일·상담사 웹·기사 리포트와 상담·방문 완료 정책 구현</x:t>
  </x:si>
  <x:si>
    <x:t xml:space="preserve">7주차</x:t>
  </x:si>
  <x:si>
    <x:t xml:space="preserve">8/24~8/28</x:t>
  </x:si>
  <x:si>
    <x:t xml:space="preserve">고객→상담사→기사→고객 E2E 통합, 권한·상태·안전·성능 검증</x:t>
  </x:si>
  <x:si>
    <x:t xml:space="preserve">8주차</x:t>
  </x:si>
  <x:si>
    <x:t xml:space="preserve">8/31~9/3</x:t>
  </x:si>
  <x:si>
    <x:t xml:space="preserve">9/2 제출물·배포·영상·리허설 완료, 9/3 최종 발표만 진행</x:t>
  </x:si>
  <x:si>
    <x:t xml:space="preserve">후속</x:t>
  </x:si>
  <x:si>
    <x:t xml:space="preserve">9/4~9/9</x:t>
  </x:si>
  <x:si>
    <x:t xml:space="preserve">Task ID</x:t>
  </x:si>
  <x:si>
    <x:t xml:space="preserve">우선순위</x:t>
  </x:si>
  <x:si>
    <x:t xml:space="preserve">단계</x:t>
  </x:si>
  <x:si>
    <x:t xml:space="preserve">주요 업무</x:t>
  </x:si>
  <x:si>
    <x:t xml:space="preserve">세부 업무</x:t>
  </x:si>
  <x:si>
    <x:t xml:space="preserve">연계 요구사항</x:t>
  </x:si>
  <x:si>
    <x:t xml:space="preserve">담당자</x:t>
  </x:si>
  <x:si>
    <x:t xml:space="preserve">협업·검수자</x:t>
  </x:si>
  <x:si>
    <x:t xml:space="preserve">선행 Task</x:t>
  </x:si>
  <x:si>
    <x:t xml:space="preserve">시작일</x:t>
  </x:si>
  <x:si>
    <x:t xml:space="preserve">종료일</x:t>
  </x:si>
  <x:si>
    <x:t xml:space="preserve">진행률</x:t>
  </x:si>
  <x:si>
    <x:t xml:space="preserve">차단 이슈</x:t>
  </x:si>
  <x:si>
    <x:t xml:space="preserve">완료 기준</x:t>
  </x:si>
  <x:si>
    <x:t xml:space="preserve">근거 문서·비고</x:t>
  </x:si>
  <x:si>
    <x:t xml:space="preserve">P0</x:t>
  </x:si>
  <x:si>
    <x:t xml:space="preserve">윤승혁</x:t>
  </x:si>
  <x:si>
    <x:t xml:space="preserve">양정현</x:t>
  </x:si>
  <x:si>
    <x:t xml:space="preserve">한예나</x:t>
  </x:si>
  <x:si>
    <x:t xml:space="preserve">최지용</x:t>
  </x:si>
  <x:si>
    <x:t xml:space="preserve">이동윤</x:t>
  </x:si>
  <x:si>
    <x:t xml:space="preserve">김은진</x:t>
  </x:si>
</x:sst>
</file>

<file path=xl/styles.xml><?xml version="1.0" encoding="utf-8"?>
<x:styleSheet xmlns:x="http://schemas.openxmlformats.org/spreadsheetml/2006/main">
  <x:numFmts count="6">
    <x:numFmt numFmtId="176" formatCode="yyyy\-mm\-dd"/>
    <x:numFmt numFmtId="177" formatCode="0.0"/>
    <x:numFmt numFmtId="178" formatCode="0.0&quot; 인일&quot;"/>
    <x:numFmt numFmtId="179" formatCode="m/d"/>
    <x:numFmt numFmtId="200" formatCode="yyyy-mm-dd"/>
    <x:numFmt numFmtId="201" formatCode="0%"/>
  </x:numFmts>
  <x:fonts count="21">
    <x:font>
      <x:sz val="11"/>
      <x:name val="Carlito"/>
    </x:font>
    <x:font>
      <x:b/>
      <x:sz val="11"/>
      <x:color rgb="FFFFFFFF"/>
      <x:name val="Carlito"/>
    </x:font>
    <x:font>
      <x:b/>
      <x:sz val="16"/>
      <x:color rgb="FFFFFFFF"/>
      <x:name val="Carlito"/>
    </x:font>
    <x:font>
      <x:i/>
      <x:sz val="10"/>
      <x:color rgb="FF263238"/>
      <x:name val="Carlito"/>
    </x:font>
    <x:font>
      <x:b/>
      <x:sz val="10"/>
      <x:color rgb="FFFFFFFF"/>
      <x:name val="Carlito"/>
    </x:font>
    <x:font>
      <x:sz val="9"/>
      <x:color rgb="FF263238"/>
      <x:name val="Carlito"/>
    </x:font>
    <x:font>
      <x:b/>
      <x:sz val="18"/>
      <x:color rgb="FFFFFFFF"/>
      <x:name val="Carlito"/>
    </x:font>
    <x:font>
      <x:i/>
      <x:sz val="11"/>
      <x:color rgb="FF263238"/>
      <x:name val="Carlito"/>
    </x:font>
    <x:font>
      <x:b/>
      <x:sz val="11"/>
      <x:color rgb="FF1F4E78"/>
      <x:name val="Carlito"/>
    </x:font>
    <x:font>
      <x:b/>
      <x:sz val="18"/>
      <x:color rgb="FF1F4E78"/>
      <x:name val="Carlito"/>
    </x:font>
    <x:font>
      <x:b/>
      <x:sz val="8"/>
      <x:color rgb="FFFFFFFF"/>
      <x:name val="Carlito"/>
    </x:font>
    <x:font>
      <x:sz val="8"/>
      <x:color rgb="FF263238"/>
      <x:name val="Carlito"/>
    </x:font>
    <x:font>
      <x:b/>
      <x:sz val="8"/>
      <x:color rgb="FF9C0006"/>
      <x:name val="Carlito"/>
    </x:font>
    <x:font>
      <x:sz val="11"/>
      <x:name val="Carlito"/>
    </x:font>
    <x:font>
      <x:sz val="8"/>
      <x:name val="돋움"/>
    </x:font>
    <x:font>
      <x:sz val="9"/>
      <x:color rgb="FF263238"/>
      <x:name val="맑은 고딕"/>
    </x:font>
    <x:font>
      <x:sz val="9"/>
      <x:color rgb="FF263238"/>
      <x:name val="맑은 고딕"/>
    </x:font>
    <x:font>
      <x:sz val="9"/>
      <x:color rgb="FF263238"/>
      <x:name val="Arial"/>
    </x:font>
    <x:font>
      <x:sz val="9"/>
      <x:color rgb="FF263238"/>
      <x:name val="Carlito"/>
    </x:font>
    <x:font>
      <x:sz val="9"/>
      <x:color rgb="FF263238"/>
      <x:name val="Carlito"/>
    </x:font>
    <x:font>
      <x:sz val="8"/>
      <x:name val="Carlito"/>
    </x:font>
  </x:fonts>
  <x:fills count="14">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5B9BD5"/>
      </x:patternFill>
    </x:fill>
    <x:fill>
      <x:patternFill patternType="solid">
        <x:fgColor rgb="FFD9EAF7"/>
      </x:patternFill>
    </x:fill>
    <x:fill>
      <x:patternFill patternType="solid">
        <x:fgColor rgb="FFFFD966"/>
      </x:patternFill>
    </x:fill>
    <x:fill>
      <x:patternFill patternType="solid">
        <x:fgColor rgb="FFD9E1F2"/>
      </x:patternFill>
    </x:fill>
    <x:fill>
      <x:patternFill patternType="solid">
        <x:fgColor rgb="FFA6A6A6"/>
      </x:patternFill>
    </x:fill>
    <x:fill>
      <x:patternFill patternType="solid">
        <x:fgColor rgb="FFF4CCCC"/>
      </x:patternFill>
    </x:fill>
    <x:fill>
      <x:patternFill patternType="solid">
        <x:fgColor rgb="FF5B9BD5"/>
      </x:patternFill>
    </x:fill>
    <x:fill>
      <x:patternFill patternType="solid">
        <x:fgColor rgb="FFFFFFFF"/>
      </x:patternFill>
    </x:fill>
    <x:fill>
      <x:patternFill patternType="solid">
        <x:fgColor rgb="FFF2F2F2"/>
      </x:patternFill>
    </x:fill>
    <x:fill>
      <x:patternFill patternType="solid">
        <x:fgColor rgb="FF5B9BD5"/>
      </x:patternFill>
    </x:fill>
  </x:fills>
  <x:borders count="2">
    <x:border/>
    <x:border/>
  </x:borders>
  <x:cellStyleXfs count="2">
    <x:xf numFmtId="0" fontId="0" fillId="0" borderId="0"/>
    <x:xf numFmtId="0" fontId="13" fillId="0" borderId="0"/>
  </x:cellStyleXfs>
  <x:cellXfs count="124">
    <x:xf numFmtId="0" fontId="0" fillId="0" borderId="0" xfId="0"/>
    <x:xf numFmtId="0" fontId="1" fillId="2" borderId="0" xfId="1" applyFont="1" applyFill="1" applyAlignment="1">
      <x:alignment horizontal="center"/>
    </x:xf>
    <x:xf numFmtId="0" fontId="0" fillId="4" borderId="0" xfId="1" applyFont="1" applyFill="1"/>
    <x:xf numFmtId="0" fontId="4" fillId="4" borderId="0" xfId="1" applyFont="1" applyFill="1" applyAlignment="1">
      <x:alignment horizontal="center" vertical="center" wrapText="1"/>
    </x:xf>
    <x:xf numFmtId="0" fontId="5" fillId="0" borderId="0" xfId="1" applyFont="1" applyAlignment="1">
      <x:alignment vertical="top" wrapText="1"/>
    </x:xf>
    <x:xf numFmtId="0" fontId="5" fillId="0" borderId="0" xfId="1" applyFont="1" applyAlignment="1">
      <x:alignment horizontal="center" vertical="top" wrapText="1"/>
    </x:xf>
    <x:xf numFmtId="176" fontId="5" fillId="0" borderId="0" xfId="1" applyNumberFormat="1" applyFont="1" applyAlignment="1">
      <x:alignment horizontal="center" vertical="top" wrapText="1"/>
    </x:xf>
    <x:xf numFmtId="177" fontId="5" fillId="0" borderId="0" xfId="1" applyNumberFormat="1" applyFont="1" applyAlignment="1">
      <x:alignment horizontal="center" vertical="top" wrapText="1"/>
    </x:xf>
    <x:xf numFmtId="9" fontId="5" fillId="0" borderId="0" xfId="1" applyNumberFormat="1" applyFont="1" applyAlignment="1">
      <x:alignment horizontal="center" vertical="top" wrapText="1"/>
    </x:xf>
    <x:xf numFmtId="0" fontId="1" fillId="4" borderId="0" xfId="1" applyFont="1" applyFill="1" applyAlignment="1">
      <x:alignment horizontal="center"/>
    </x:xf>
    <x:xf numFmtId="0" fontId="8" fillId="5" borderId="0" xfId="1" applyFont="1" applyFill="1" applyAlignment="1">
      <x:alignment wrapText="1"/>
    </x:xf>
    <x:xf numFmtId="0" fontId="0" fillId="0" borderId="0" xfId="1" applyFont="1" applyAlignment="1">
      <x:alignment wrapText="1"/>
    </x:xf>
    <x:xf numFmtId="177" fontId="0" fillId="0" borderId="0" xfId="1" applyNumberFormat="1" applyFont="1"/>
    <x:xf numFmtId="0" fontId="1" fillId="4" borderId="0" xfId="1" applyFont="1" applyFill="1" applyAlignment="1">
      <x:alignment horizontal="center" vertical="center" wrapText="1"/>
    </x:xf>
    <x:xf numFmtId="179" fontId="10" fillId="4" borderId="0" xfId="1" applyNumberFormat="1" applyFont="1" applyFill="1" applyAlignment="1">
      <x:alignment horizontal="center" vertical="center"/>
    </x:xf>
    <x:xf numFmtId="179" fontId="10" fillId="6" borderId="0" xfId="1" applyNumberFormat="1" applyFont="1" applyFill="1" applyAlignment="1">
      <x:alignment horizontal="center" vertical="center"/>
    </x:xf>
    <x:xf numFmtId="0" fontId="11" fillId="0" borderId="0" xfId="1" applyFont="1" applyAlignment="1">
      <x:alignment vertical="center" wrapText="1"/>
    </x:xf>
    <x:xf numFmtId="176" fontId="11" fillId="0" borderId="0" xfId="1" applyNumberFormat="1" applyFont="1" applyAlignment="1">
      <x:alignment vertical="center" wrapText="1"/>
    </x:xf>
    <x:xf numFmtId="0" fontId="0" fillId="7" borderId="0" xfId="1" applyFont="1" applyFill="1"/>
    <x:xf numFmtId="179" fontId="10" fillId="8" borderId="0" xfId="1" applyNumberFormat="1" applyFont="1" applyFill="1" applyAlignment="1">
      <x:alignment horizontal="center" vertical="center"/>
    </x:xf>
    <x:xf numFmtId="0" fontId="12" fillId="9" borderId="0" xfId="1" applyFont="1" applyFill="1" applyAlignment="1">
      <x:alignment horizontal="center" wrapText="1"/>
    </x:xf>
    <x:xf numFmtId="179" fontId="10" fillId="9" borderId="0" xfId="1" applyNumberFormat="1" applyFont="1" applyFill="1" applyAlignment="1">
      <x:alignment horizontal="center" vertical="center"/>
    </x:xf>
    <x:xf numFmtId="0" fontId="6" fillId="2" borderId="0" xfId="1" applyFont="1" applyFill="1" applyAlignment="1">
      <x:alignment horizontal="center" vertical="center"/>
    </x:xf>
    <x:xf numFmtId="0" fontId="7" fillId="3" borderId="0" xfId="1" applyFont="1" applyFill="1" applyAlignment="1">
      <x:alignment horizontal="center"/>
    </x:xf>
    <x:xf numFmtId="0" fontId="1" fillId="4" borderId="0" xfId="1" applyFont="1" applyFill="1" applyAlignment="1">
      <x:alignment horizontal="center"/>
    </x:xf>
    <x:xf numFmtId="0" fontId="1" fillId="4" borderId="0" xfId="1" applyFont="1" applyFill="1" applyAlignment="1">
      <x:alignment horizontal="center" vertical="center"/>
    </x:xf>
    <x:xf numFmtId="0" fontId="9" fillId="3" borderId="0" xfId="1" applyFont="1" applyFill="1" applyAlignment="1">
      <x:alignment horizontal="center" vertical="center"/>
    </x:xf>
    <x:xf numFmtId="178" fontId="9" fillId="3" borderId="0" xfId="1" applyNumberFormat="1" applyFont="1" applyFill="1" applyAlignment="1">
      <x:alignment horizontal="center" vertical="center"/>
    </x:xf>
    <x:xf numFmtId="9" fontId="9" fillId="3" borderId="0" xfId="1" applyNumberFormat="1" applyFont="1" applyFill="1" applyAlignment="1">
      <x:alignment horizontal="center" vertical="center"/>
    </x:xf>
    <x:xf numFmtId="0" fontId="1" fillId="2" borderId="0" xfId="1" applyFont="1" applyFill="1" applyAlignment="1">
      <x:alignment horizontal="center"/>
    </x:xf>
    <x:xf numFmtId="0" fontId="2" fillId="2" borderId="0" xfId="1" applyFont="1" applyFill="1" applyAlignment="1">
      <x:alignment horizontal="center" vertical="center"/>
    </x:xf>
    <x:xf numFmtId="0" fontId="3" fillId="3" borderId="0" xfId="1" applyFont="1" applyFill="1" applyAlignment="1">
      <x:alignment horizontal="left" vertical="center"/>
    </x:xf>
    <x:xf numFmtId="0" fontId="2" fillId="2" borderId="0" xfId="1" applyFont="1" applyFill="1" applyAlignment="1">
      <x:alignment horizontal="center"/>
    </x:xf>
    <x:xf numFmtId="0" fontId="19" fillId="0" borderId="0" xfId="1" applyFont="1" applyAlignment="1">
      <x:alignment horizontal="center" vertical="top" wrapText="1"/>
    </x:xf>
    <x:xf numFmtId="0" fontId="0" fillId="10" borderId="0" xfId="1" applyFont="1" applyFill="1"/>
    <x:xf numFmtId="0" fontId="0" fillId="0" borderId="0" xfId="1" applyFont="1" applyFill="1"/>
    <x:xf numFmtId="0" fontId="0" fillId="10" borderId="0" xfId="0" applyFill="1"/>
    <x:xf numFmtId="0" fontId="0" fillId="0" borderId="1" xfId="0" applyNumberFormat="1" applyFont="1" applyFill="1" applyBorder="1"/>
    <x:xf numFmtId="0" fontId="1" fillId="2" borderId="1"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5" fillId="0" borderId="1" xfId="0" applyNumberFormat="1" applyFont="1" applyFill="1" applyBorder="1" applyAlignment="1">
      <x:alignment horizontal="center" vertical="top" wrapText="1"/>
    </x:xf>
    <x:xf numFmtId="176" fontId="5" fillId="0" borderId="1" xfId="0" applyNumberFormat="1" applyFont="1" applyFill="1" applyBorder="1" applyAlignment="1">
      <x:alignment horizontal="center" vertical="top" wrapText="1"/>
    </x:xf>
    <x:xf numFmtId="177" fontId="5" fillId="0" borderId="1" xfId="0" applyNumberFormat="1" applyFont="1" applyFill="1" applyBorder="1" applyAlignment="1">
      <x:alignment horizontal="center" vertical="top" wrapText="1"/>
    </x:xf>
    <x:xf numFmtId="9" fontId="5" fillId="0" borderId="1" xfId="0" applyNumberFormat="1" applyFont="1" applyFill="1" applyBorder="1" applyAlignment="1">
      <x:alignment horizontal="center" vertical="top" wrapText="1"/>
    </x:xf>
    <x:xf numFmtId="0" fontId="1" fillId="4" borderId="1" xfId="0" applyNumberFormat="1" applyFont="1" applyFill="1" applyBorder="1" applyAlignment="1">
      <x:alignment horizontal="center"/>
    </x:xf>
    <x:xf numFmtId="0" fontId="8" fillId="5" borderId="1" xfId="0" applyNumberFormat="1" applyFont="1" applyFill="1" applyBorder="1" applyAlignment="1">
      <x:alignment wrapText="1"/>
    </x:xf>
    <x:xf numFmtId="0" fontId="0" fillId="0" borderId="1" xfId="0" applyNumberFormat="1" applyFont="1" applyFill="1" applyBorder="1" applyAlignment="1">
      <x:alignment wrapText="1"/>
    </x:xf>
    <x:xf numFmtId="177" fontId="0" fillId="0" borderId="1" xfId="0" applyNumberFormat="1" applyFont="1" applyFill="1" applyBorder="1"/>
    <x:xf numFmtId="0" fontId="1" fillId="4" borderId="1" xfId="0" applyNumberFormat="1" applyFont="1" applyFill="1" applyBorder="1" applyAlignment="1">
      <x:alignment horizontal="center" vertical="center" wrapText="1"/>
    </x:xf>
    <x:xf numFmtId="179" fontId="10" fillId="4" borderId="1" xfId="0" applyNumberFormat="1" applyFont="1" applyFill="1" applyBorder="1" applyAlignment="1">
      <x:alignment horizontal="center" vertical="center"/>
    </x:xf>
    <x:xf numFmtId="179" fontId="10" fillId="6" borderId="1" xfId="0" applyNumberFormat="1" applyFont="1" applyFill="1" applyBorder="1" applyAlignment="1">
      <x:alignment horizontal="center" vertical="center"/>
    </x:xf>
    <x:xf numFmtId="0" fontId="11" fillId="0" borderId="1" xfId="0" applyNumberFormat="1" applyFont="1" applyFill="1" applyBorder="1" applyAlignment="1">
      <x:alignment vertical="center" wrapText="1"/>
    </x:xf>
    <x:xf numFmtId="176" fontId="11" fillId="0" borderId="1" xfId="0" applyNumberFormat="1" applyFont="1" applyFill="1" applyBorder="1" applyAlignment="1">
      <x:alignment vertical="center" wrapText="1"/>
    </x:xf>
    <x:xf numFmtId="0" fontId="0" fillId="7" borderId="1" xfId="0" applyNumberFormat="1" applyFont="1" applyFill="1" applyBorder="1"/>
    <x:xf numFmtId="179" fontId="10" fillId="8" borderId="1" xfId="0" applyNumberFormat="1" applyFont="1" applyFill="1" applyBorder="1" applyAlignment="1">
      <x:alignment horizontal="center" vertical="center"/>
    </x:xf>
    <x:xf numFmtId="0" fontId="12" fillId="9" borderId="1" xfId="0" applyNumberFormat="1" applyFont="1" applyFill="1" applyBorder="1" applyAlignment="1">
      <x:alignment horizontal="center" wrapText="1"/>
    </x:xf>
    <x:xf numFmtId="179" fontId="10" fillId="9" borderId="1" xfId="0" applyNumberFormat="1" applyFont="1" applyFill="1" applyBorder="1" applyAlignment="1">
      <x:alignment horizontal="center" vertical="center"/>
    </x:xf>
    <x:xf numFmtId="0" fontId="6" fillId="2" borderId="1" xfId="0" applyNumberFormat="1" applyFont="1" applyFill="1" applyBorder="1" applyAlignment="1">
      <x:alignment horizontal="center" vertical="center"/>
    </x:xf>
    <x:xf numFmtId="0" fontId="7" fillId="3" borderId="1" xfId="0" applyNumberFormat="1" applyFont="1" applyFill="1" applyBorder="1" applyAlignment="1">
      <x:alignment horizontal="center"/>
    </x:xf>
    <x:xf numFmtId="0" fontId="1" fillId="4" borderId="1" xfId="0" applyNumberFormat="1" applyFont="1" applyFill="1" applyBorder="1" applyAlignment="1">
      <x:alignment horizontal="center" vertical="center"/>
    </x:xf>
    <x:xf numFmtId="0" fontId="9" fillId="3" borderId="1" xfId="0" applyNumberFormat="1" applyFont="1" applyFill="1" applyBorder="1" applyAlignment="1">
      <x:alignment horizontal="center" vertical="center"/>
    </x:xf>
    <x:xf numFmtId="178" fontId="9" fillId="3" borderId="1" xfId="0" applyNumberFormat="1" applyFont="1" applyFill="1" applyBorder="1" applyAlignment="1">
      <x:alignment horizontal="center" vertical="center"/>
    </x:xf>
    <x:xf numFmtId="9" fontId="9" fillId="3" borderId="1"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3" fillId="3" borderId="1" xfId="0" applyNumberFormat="1" applyFont="1" applyFill="1" applyBorder="1" applyAlignment="1">
      <x:alignment horizontal="left" vertical="center"/>
    </x:xf>
    <x:xf numFmtId="0" fontId="2" fillId="2" borderId="1" xfId="0" applyNumberFormat="1" applyFont="1" applyFill="1" applyBorder="1" applyAlignment="1">
      <x:alignment horizontal="center"/>
    </x:xf>
    <x:xf numFmtId="0" fontId="4" fillId="4"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176" fontId="5" fillId="0" borderId="0" xfId="0" applyNumberFormat="1" applyFont="1" applyFill="1" applyBorder="1" applyAlignment="1">
      <x:alignment horizontal="center" vertical="top" wrapText="1"/>
    </x:xf>
    <x:xf numFmtId="177" fontId="5" fillId="0" borderId="0" xfId="0" applyNumberFormat="1" applyFont="1" applyFill="1" applyBorder="1" applyAlignment="1">
      <x:alignment horizontal="center" vertical="top" wrapText="1"/>
    </x:xf>
    <x:xf numFmtId="9" fontId="5" fillId="0"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176" fontId="5" fillId="0" borderId="0" xfId="0" applyNumberFormat="1" applyFont="1" applyFill="1" applyBorder="1" applyAlignment="1">
      <x:alignment horizontal="center" vertical="center" wrapText="1"/>
    </x:xf>
    <x:xf numFmtId="177" fontId="5" fillId="0" borderId="0" xfId="0" applyNumberFormat="1" applyFont="1" applyFill="1" applyBorder="1" applyAlignment="1">
      <x:alignment horizontal="center" vertical="center" wrapText="1"/>
    </x:xf>
    <x:xf numFmtId="9" fontId="5"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176" fontId="5" fillId="0" borderId="1" xfId="0" applyNumberFormat="1" applyFont="1" applyFill="1" applyBorder="1" applyAlignment="1">
      <x:alignment horizontal="center" vertical="center" wrapText="1"/>
    </x:xf>
    <x:xf numFmtId="177" fontId="5" fillId="0" borderId="1" xfId="0" applyNumberFormat="1" applyFont="1" applyFill="1" applyBorder="1" applyAlignment="1">
      <x:alignment horizontal="center" vertical="center" wrapText="1"/>
    </x:xf>
    <x:xf numFmtId="9" fontId="5"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200" fontId="5" fillId="0"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center" wrapText="1"/>
    </x:xf>
    <x:xf numFmtId="200" fontId="5" fillId="0" borderId="1" xfId="0" applyNumberFormat="1" applyFont="1" applyFill="1" applyBorder="1" applyAlignment="1">
      <x:alignment horizontal="center" vertical="center" wrapText="1"/>
    </x:xf>
    <x:xf numFmtId="200" fontId="0" fillId="0" borderId="1" xfId="0" applyNumberFormat="1" applyFont="1" applyFill="1" applyBorder="1" applyAlignment="1">
      <x:alignment vertical="center" wrapText="1"/>
    </x:xf>
    <x:xf numFmtId="177" fontId="0" fillId="0" borderId="0" xfId="0" applyNumberFormat="1" applyFont="1" applyFill="1" applyBorder="1" applyAlignment="1">
      <x:alignment vertical="center" wrapText="1"/>
    </x:xf>
    <x:xf numFmtId="177" fontId="0" fillId="0" borderId="1" xfId="0" applyNumberFormat="1" applyFont="1" applyFill="1" applyBorder="1" applyAlignment="1">
      <x:alignment vertical="center" wrapText="1"/>
    </x:xf>
    <x:xf numFmtId="201" fontId="5" fillId="0" borderId="0" xfId="0" applyNumberFormat="1" applyFont="1" applyFill="1" applyBorder="1" applyAlignment="1">
      <x:alignment horizontal="center" vertical="center" wrapText="1"/>
    </x:xf>
    <x:xf numFmtId="201" fontId="0" fillId="0" borderId="0" xfId="0" applyNumberFormat="1" applyFont="1" applyFill="1" applyBorder="1" applyAlignment="1">
      <x:alignment vertical="center" wrapText="1"/>
    </x:xf>
    <x:xf numFmtId="201" fontId="5" fillId="0" borderId="1" xfId="0" applyNumberFormat="1" applyFont="1" applyFill="1" applyBorder="1" applyAlignment="1">
      <x:alignment horizontal="center" vertical="center" wrapText="1"/>
    </x:xf>
    <x:xf numFmtId="201" fontId="0" fillId="0" borderId="1" xfId="0" applyNumberFormat="1" applyFont="1" applyFill="1" applyBorder="1" applyAlignment="1">
      <x:alignment vertical="center" wrapText="1"/>
    </x:xf>
    <x:xf numFmtId="200" fontId="11" fillId="0" borderId="0" xfId="0" applyNumberFormat="1" applyFont="1" applyFill="1" applyBorder="1" applyAlignment="1">
      <x:alignment vertical="center" wrapText="1"/>
    </x:xf>
    <x:xf numFmtId="200" fontId="0" fillId="0" borderId="0" xfId="0" applyNumberFormat="1" applyFont="1" applyFill="1" applyBorder="1"/>
    <x:xf numFmtId="200" fontId="11" fillId="0" borderId="1" xfId="0" applyNumberFormat="1" applyFont="1" applyFill="1" applyBorder="1" applyAlignment="1">
      <x:alignment vertical="center" wrapText="1"/>
    </x:xf>
    <x:xf numFmtId="200" fontId="0" fillId="0" borderId="1" xfId="0" applyNumberFormat="1" applyFont="1" applyFill="1" applyBorder="1"/>
    <x:xf numFmtId="0" fontId="11" fillId="0" borderId="0" xfId="0" applyNumberFormat="1" applyFont="1" applyFill="1" applyBorder="1" applyAlignment="1">
      <x:alignment vertical="center" wrapText="1"/>
    </x:xf>
    <x:xf numFmtId="0" fontId="20" fillId="4" borderId="0" xfId="0" applyNumberFormat="1" applyFont="1" applyFill="1" applyBorder="1"/>
    <x:xf numFmtId="0" fontId="20" fillId="0" borderId="0" xfId="0" applyNumberFormat="1" applyFont="1" applyFill="1" applyBorder="1"/>
    <x:xf numFmtId="0" fontId="20" fillId="7" borderId="0" xfId="0" applyNumberFormat="1" applyFont="1" applyFill="1" applyBorder="1"/>
    <x:xf numFmtId="200" fontId="20" fillId="0" borderId="0" xfId="0" applyNumberFormat="1" applyFont="1" applyFill="1" applyBorder="1"/>
    <x:xf numFmtId="0" fontId="20" fillId="4" borderId="1" xfId="0" applyNumberFormat="1" applyFont="1" applyFill="1" applyBorder="1"/>
    <x:xf numFmtId="0" fontId="20" fillId="0" borderId="1" xfId="0" applyNumberFormat="1" applyFont="1" applyFill="1" applyBorder="1"/>
    <x:xf numFmtId="0" fontId="20" fillId="7" borderId="1" xfId="0" applyNumberFormat="1" applyFont="1" applyFill="1" applyBorder="1"/>
    <x:xf numFmtId="200" fontId="20" fillId="0" borderId="1" xfId="0" applyNumberFormat="1" applyFont="1" applyFill="1" applyBorder="1"/>
    <x:xf numFmtId="0" fontId="20" fillId="4" borderId="0" xfId="0" applyNumberFormat="1" applyFont="1" applyFill="1" applyBorder="1" applyAlignment="1">
      <x:alignment vertical="center"/>
    </x:xf>
    <x:xf numFmtId="0" fontId="20" fillId="0" borderId="0" xfId="0" applyNumberFormat="1" applyFont="1" applyFill="1" applyBorder="1" applyAlignment="1">
      <x:alignment vertical="center"/>
    </x:xf>
    <x:xf numFmtId="0" fontId="20" fillId="7" borderId="0" xfId="0" applyNumberFormat="1" applyFont="1" applyFill="1" applyBorder="1" applyAlignment="1">
      <x:alignment vertical="center"/>
    </x:xf>
    <x:xf numFmtId="200" fontId="20" fillId="0" borderId="0" xfId="0" applyNumberFormat="1" applyFont="1" applyFill="1" applyBorder="1" applyAlignment="1">
      <x:alignment vertical="center"/>
    </x:xf>
    <x:xf numFmtId="0" fontId="20" fillId="4" borderId="1" xfId="0" applyNumberFormat="1" applyFont="1" applyFill="1" applyBorder="1" applyAlignment="1">
      <x:alignment vertical="center"/>
    </x:xf>
    <x:xf numFmtId="0" fontId="20" fillId="0" borderId="1" xfId="0" applyNumberFormat="1" applyFont="1" applyFill="1" applyBorder="1" applyAlignment="1">
      <x:alignment vertical="center"/>
    </x:xf>
    <x:xf numFmtId="0" fontId="20" fillId="7" borderId="1" xfId="0" applyNumberFormat="1" applyFont="1" applyFill="1" applyBorder="1" applyAlignment="1">
      <x:alignment vertical="center"/>
    </x:xf>
    <x:xf numFmtId="200" fontId="20" fillId="0" borderId="1" xfId="0" applyNumberFormat="1" applyFont="1" applyFill="1" applyBorder="1" applyAlignment="1">
      <x:alignment vertical="center"/>
    </x:xf>
    <x:xf numFmtId="0" fontId="20" fillId="11" borderId="0" xfId="0" applyNumberFormat="1" applyFont="1" applyFill="1" applyBorder="1" applyAlignment="1">
      <x:alignment vertical="center"/>
    </x:xf>
    <x:xf numFmtId="0" fontId="20" fillId="11" borderId="1" xfId="0" applyNumberFormat="1" applyFont="1" applyFill="1" applyBorder="1" applyAlignment="1">
      <x:alignment vertical="center"/>
    </x:xf>
    <x:xf numFmtId="0" fontId="20" fillId="12" borderId="0" xfId="0" applyNumberFormat="1" applyFont="1" applyFill="1" applyBorder="1" applyAlignment="1">
      <x:alignment vertical="center"/>
    </x:xf>
    <x:xf numFmtId="0" fontId="20" fillId="12" borderId="1" xfId="0" applyNumberFormat="1" applyFont="1" applyFill="1" applyBorder="1" applyAlignment="1">
      <x:alignment vertical="center"/>
    </x:xf>
    <x:xf numFmtId="0" fontId="20" fillId="13" borderId="0" xfId="0" applyNumberFormat="1" applyFont="1" applyFill="1" applyBorder="1" applyAlignment="1">
      <x:alignment vertical="center"/>
    </x:xf>
    <x:xf numFmtId="0" fontId="20" fillId="13" borderId="1" xfId="0" applyNumberFormat="1" applyFont="1" applyFill="1" applyBorder="1" applyAlignment="1">
      <x:alignment vertical="center"/>
    </x:xf>
  </x:cellXfs>
  <x:cellStyles count="2">
    <x:cellStyle name="Normal" xfId="1"/>
    <x:cellStyle name="표준" xfId="0"/>
  </x:cellStyles>
  <x:dxfs count="6">
    <x:dxf>
      <x:font>
        <x:b/>
        <x:color rgb="FF9C0006"/>
      </x:font>
      <x:fill>
        <x:patternFill>
          <x:bgColor rgb="FFF4CCCC"/>
        </x:patternFill>
      </x:fill>
    </x:dxf>
    <x:dxf>
      <x:font>
        <x:b/>
        <x:color rgb="FF843C0C"/>
      </x:font>
      <x:fill>
        <x:patternFill>
          <x:bgColor rgb="FFF4B183"/>
        </x:patternFill>
      </x:fill>
    </x:dxf>
    <x:dxf>
      <x:font>
        <x:b/>
        <x:color rgb="FF7F6000"/>
      </x:font>
      <x:fill>
        <x:patternFill>
          <x:bgColor rgb="FFFFE699"/>
        </x:patternFill>
      </x:fill>
    </x:dxf>
    <x:dxf>
      <x:font>
        <x:b/>
        <x:color rgb="FF375623"/>
      </x:font>
      <x:fill>
        <x:patternFill>
          <x:bgColor rgb="FFC6E0B4"/>
        </x:patternFill>
      </x:fill>
    </x:dxf>
    <x:dxf>
      <x:font>
        <x:b/>
        <x:color rgb="FF666666"/>
      </x:font>
      <x:fill>
        <x:patternFill>
          <x:bgColor rgb="FFF2F2F2"/>
        </x:patternFill>
      </x:fill>
    </x:dxf>
    <x:dxf>
      <x:font>
        <x:b/>
        <x:color rgb="FF1F4E78"/>
      </x:font>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3f2cbaa71d406c" /><Relationship Type="http://schemas.openxmlformats.org/officeDocument/2006/relationships/theme" Target="/xl/theme/theme1.xml" Id="Rf7535b7bf72748cc" /><Relationship Type="http://schemas.openxmlformats.org/officeDocument/2006/relationships/sharedStrings" Target="/xl/sharedStrings.xml" Id="R3654f9c0df2a47f6" /><Relationship Type="http://schemas.openxmlformats.org/officeDocument/2006/relationships/worksheet" Target="/xl/worksheets/sheet1.xml" Id="R03dfa7e44b2542c7" /><Relationship Type="http://schemas.openxmlformats.org/officeDocument/2006/relationships/worksheet" Target="/xl/worksheets/sheet2.xml" Id="Rf1103b6b3ed24b36" /><Relationship Type="http://schemas.openxmlformats.org/officeDocument/2006/relationships/worksheet" Target="/xl/worksheets/sheet3.xml" Id="R55f2efcd78e44d74" /><Relationship Type="http://schemas.openxmlformats.org/officeDocument/2006/relationships/worksheet" Target="/xl/worksheets/sheet4.xml" Id="R5c6ff881f8d145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496a4f587c254069" /><Relationship Type="http://schemas.openxmlformats.org/officeDocument/2006/relationships/chart" Target="/xl/drawings/charts/chart2.xml" Id="R8c783963f4a24a12"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역할별 작업·공수</a:t>
            </a:r>
          </a:p>
        </c:rich>
      </c:tx>
      <c:overlay val="0"/>
    </c:title>
    <c:autoTitleDeleted val="0"/>
    <c:plotArea>
      <c:layout/>
      <c:barChart>
        <c:barDir val="col"/>
        <c:grouping val="clustered"/>
        <c:varyColors val="0"/>
        <c:ser>
          <c:idx val="0"/>
          <c:order val="0"/>
          <c:tx>
            <c:v>작업 수</c:v>
          </c:tx>
          <c:cat>
            <c:strRef>
              <c:f>요약!$A$16:$A$21</c:f>
              <c:strCache>
                <c:ptCount val="6"/>
                <c:pt idx="0">
                  <c:v>PM·기술 통합</c:v>
                </c:pt>
                <c:pt idx="1">
                  <c:v>모바일 앱 개발</c:v>
                </c:pt>
                <c:pt idx="2">
                  <c:v>웹 프론트엔드</c:v>
                </c:pt>
                <c:pt idx="3">
                  <c:v>백엔드·데이터베이스</c:v>
                </c:pt>
                <c:pt idx="4">
                  <c:v>AI·RAG</c:v>
                </c:pt>
                <c:pt idx="5">
                  <c:v>데이터·QA·DevOps</c:v>
                </c:pt>
              </c:strCache>
            </c:strRef>
          </c:cat>
          <c:val>
            <c:numRef>
              <c:f>요약!$B$16:$B$21</c:f>
              <c:numCache>
                <c:formatCode>0.0</c:formatCode>
                <c:ptCount val="6"/>
                <c:pt idx="0">
                  <c:v>7</c:v>
                </c:pt>
                <c:pt idx="1">
                  <c:v>7</c:v>
                </c:pt>
                <c:pt idx="2">
                  <c:v>9</c:v>
                </c:pt>
                <c:pt idx="3">
                  <c:v>16</c:v>
                </c:pt>
                <c:pt idx="4">
                  <c:v>15</c:v>
                </c:pt>
                <c:pt idx="5">
                  <c:v>11</c:v>
                </c:pt>
              </c:numCache>
            </c:numRef>
          </c:val>
        </c:ser>
        <c:ser>
          <c:idx val="1"/>
          <c:order val="1"/>
          <c:tx>
            <c:v>공수(인일)</c:v>
          </c:tx>
          <c:cat>
            <c:strRef>
              <c:f>요약!$A$16:$A$21</c:f>
              <c:strCache>
                <c:ptCount val="6"/>
                <c:pt idx="0">
                  <c:v>PM·기술 통합</c:v>
                </c:pt>
                <c:pt idx="1">
                  <c:v>모바일 앱 개발</c:v>
                </c:pt>
                <c:pt idx="2">
                  <c:v>웹 프론트엔드</c:v>
                </c:pt>
                <c:pt idx="3">
                  <c:v>백엔드·데이터베이스</c:v>
                </c:pt>
                <c:pt idx="4">
                  <c:v>AI·RAG</c:v>
                </c:pt>
                <c:pt idx="5">
                  <c:v>데이터·QA·DevOps</c:v>
                </c:pt>
              </c:strCache>
            </c:strRef>
          </c:cat>
          <c:val>
            <c:numRef>
              <c:f>요약!$C$16:$C$21</c:f>
              <c:numCache>
                <c:formatCode>0.0</c:formatCode>
                <c:ptCount val="6"/>
                <c:pt idx="0">
                  <c:v>8.5</c:v>
                </c:pt>
                <c:pt idx="1">
                  <c:v>11</c:v>
                </c:pt>
                <c:pt idx="2">
                  <c:v>9.5</c:v>
                </c:pt>
                <c:pt idx="3">
                  <c:v>21</c:v>
                </c:pt>
                <c:pt idx="4">
                  <c:v>21</c:v>
                </c:pt>
                <c:pt idx="5">
                  <c:v>17.5</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상태별 작업 현황</a:t>
            </a:r>
          </a:p>
        </c:rich>
      </c:tx>
      <c:overlay val="0"/>
    </c:title>
    <c:autoTitleDeleted val="0"/>
    <c:plotArea>
      <c:layout/>
      <c:barChart>
        <c:barDir val="col"/>
        <c:grouping val="clustered"/>
        <c:varyColors val="0"/>
        <c:ser>
          <c:idx val="0"/>
          <c:order val="0"/>
          <c:tx>
            <c:v>작업 수</c:v>
          </c:tx>
          <c:cat>
            <c:strRef>
              <c:f>요약!$E$16:$E$20</c:f>
              <c:strCache>
                <c:ptCount val="5"/>
                <c:pt idx="0">
                  <c:v>미착수</c:v>
                </c:pt>
                <c:pt idx="1">
                  <c:v>진행 중</c:v>
                </c:pt>
                <c:pt idx="2">
                  <c:v>완료</c:v>
                </c:pt>
                <c:pt idx="3">
                  <c:v>보류</c:v>
                </c:pt>
                <c:pt idx="4">
                  <c:v>차단</c:v>
                </c:pt>
              </c:strCache>
            </c:strRef>
          </c:cat>
          <c:val>
            <c:numRef>
              <c:f>요약!$F$16:$F$20</c:f>
              <c:numCache>
                <c:formatCode>0.0</c:formatCode>
                <c:ptCount val="5"/>
                <c:pt idx="0">
                  <c:v>49</c:v>
                </c:pt>
                <c:pt idx="1">
                  <c:v>8</c:v>
                </c:pt>
                <c:pt idx="2">
                  <c:v>8</c:v>
                </c:pt>
                <c:pt idx="3">
                  <c:v>0</c:v>
                </c:pt>
                <c:pt idx="4">
                  <c:v>0</c:v>
                </c:pt>
              </c:numCache>
            </c:numRef>
          </c:val>
        </c:ser>
        <c:ser>
          <c:idx val="1"/>
          <c:order val="1"/>
          <c:tx>
            <c:v>공수(인일)</c:v>
          </c:tx>
          <c:cat>
            <c:strRef>
              <c:f>요약!$E$16:$E$20</c:f>
              <c:strCache>
                <c:ptCount val="5"/>
                <c:pt idx="0">
                  <c:v>미착수</c:v>
                </c:pt>
                <c:pt idx="1">
                  <c:v>진행 중</c:v>
                </c:pt>
                <c:pt idx="2">
                  <c:v>완료</c:v>
                </c:pt>
                <c:pt idx="3">
                  <c:v>보류</c:v>
                </c:pt>
                <c:pt idx="4">
                  <c:v>차단</c:v>
                </c:pt>
              </c:strCache>
            </c:strRef>
          </c:cat>
          <c:val>
            <c:numRef>
              <c:f>요약!$G$16:$G$20</c:f>
              <c:numCache>
                <c:formatCode>0.0</c:formatCode>
                <c:ptCount val="5"/>
                <c:pt idx="0">
                  <c:v>66</c:v>
                </c:pt>
                <c:pt idx="1">
                  <c:v>11</c:v>
                </c:pt>
                <c:pt idx="2">
                  <c:v>11.5</c:v>
                </c:pt>
                <c:pt idx="3">
                  <c:v>0</c:v>
                </c:pt>
                <c:pt idx="4">
                  <c:v>0</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13</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6a4f587c254069"/>
        </a:graphicData>
      </a:graphic>
    </xdr:graphicFrame>
    <xdr:clientData/>
  </xdr:twoCellAnchor>
  <xdr:twoCellAnchor>
    <xdr:from>
      <xdr:col>8</xdr:col>
      <xdr:colOff>0</xdr:colOff>
      <xdr:row>26</xdr:row>
      <xdr:rowOff>0</xdr:rowOff>
    </xdr:from>
    <xdr:to>
      <xdr:col>14</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783963f4a24a12"/>
        </a:graphicData>
      </a:graphic>
    </xdr:graphicFrame>
    <xdr:clientData/>
  </xdr:twoCellAnchor>
</xdr:wsDr>
</file>

<file path=xl/tables/table1.xml><?xml version="1.0" encoding="utf-8"?>
<x:table xmlns:x="http://schemas.openxmlformats.org/spreadsheetml/2006/main" id="1" name="RevisedWBSTasks" displayName="RevisedWBSTasks" ref="A4:R77" headerRowCount="1">
  <x:tableColumns count="18">
    <x:tableColumn id="1" name="Task ID"/>
    <x:tableColumn id="2" name="우선순위"/>
    <x:tableColumn id="3" name="단계"/>
    <x:tableColumn id="4" name="주요 업무"/>
    <x:tableColumn id="5" name="세부 업무"/>
    <x:tableColumn id="6" name="연계 요구사항"/>
    <x:tableColumn id="7" name="담당 역할"/>
    <x:tableColumn id="8" name="담당자"/>
    <x:tableColumn id="9" name="협업·검수자"/>
    <x:tableColumn id="10" name="선행 Task"/>
    <x:tableColumn id="11" name="시작일"/>
    <x:tableColumn id="12" name="종료일"/>
    <x:tableColumn id="13" name="공수(인일)"/>
    <x:tableColumn id="14" name="상태"/>
    <x:tableColumn id="15" name="진행률"/>
    <x:tableColumn id="16" name="차단 이슈"/>
    <x:tableColumn id="17" name="완료 기준"/>
    <x:tableColumn id="18" name="근거 문서·비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692fbb9910a4116" /></Relationships>
</file>

<file path=xl/worksheets/_rels/sheet2.xml.rels>&#65279;<?xml version="1.0" encoding="utf-8"?><Relationships xmlns="http://schemas.openxmlformats.org/package/2006/relationships"><Relationship Type="http://schemas.openxmlformats.org/officeDocument/2006/relationships/table" Target="/xl/tables/table1.xml" Id="R725f06e12eed46dc" /></Relationships>
</file>

<file path=xl/worksheets/sheet1.xml><?xml version="1.0" encoding="utf-8"?>
<x:worksheet xmlns:x="http://schemas.openxmlformats.org/spreadsheetml/2006/main">
  <x:sheetFormatPr defaultRowHeight="14"/>
  <x:cols>
    <x:col min="1" max="1" width="24" customWidth="1"/>
    <x:col min="2" max="2" width="66" customWidth="1"/>
    <x:col min="3" max="3" width="16" customWidth="1"/>
    <x:col min="4" max="4" width="4" customWidth="1"/>
    <x:col min="5" max="5" width="16" customWidth="1"/>
    <x:col min="6" max="13" width="14" customWidth="1"/>
    <x:col min="14" max="14" width="4" customWidth="1"/>
  </x:cols>
  <x:sheetData>
    <x:row r="1" ht="22.649999618530273" customHeight="1">
      <x:c r="A1" s="22" t="str">
        <x:v>정수기 구독 고객 케어 및 A/S 업무 지원 시스템 — WBS 요약 v2.0</x:v>
      </x:c>
      <x:c r="B1" s="22"/>
      <x:c r="C1" s="22"/>
      <x:c r="D1" s="22"/>
      <x:c r="E1" s="22"/>
      <x:c r="F1" s="22"/>
      <x:c r="G1" s="22"/>
      <x:c r="H1" s="22"/>
      <x:c r="I1" s="22"/>
      <x:c r="J1" s="22"/>
      <x:c r="K1" s="22"/>
      <x:c r="L1" s="22"/>
      <x:c r="M1" s="22"/>
      <x:c r="N1" s="22"/>
    </x:row>
    <x:row r="2" ht="14.5">
      <x:c r="A2" s="23" t="str">
        <x:v>기획서·화면설계서 v11·요구사항정의서 v2.0 92건·수집데이터보고서 정합성 반영 | 작성 기준일 2026-07-30</x:v>
      </x:c>
      <x:c r="B2" s="23"/>
      <x:c r="C2" s="23"/>
      <x:c r="D2" s="23"/>
      <x:c r="E2" s="23"/>
      <x:c r="F2" s="23"/>
      <x:c r="G2" s="23"/>
      <x:c r="H2" s="23"/>
      <x:c r="I2" s="23"/>
      <x:c r="J2" s="23"/>
      <x:c r="K2" s="23"/>
      <x:c r="L2" s="23"/>
      <x:c r="M2" s="23"/>
      <x:c r="N2" s="23"/>
    </x:row>
    <x:row r="4">
      <x:c r="A4" s="24" t="s">
        <x:v>0</x:v>
      </x:c>
      <x:c r="B4" s="24"/>
      <x:c r="C4" s="24"/>
      <x:c r="D4" s="24"/>
      <x:c r="F4" s="25" t="s">
        <x:v>1</x:v>
      </x:c>
      <x:c r="G4" s="25"/>
      <x:c r="H4" s="25" t="s">
        <x:v>2</x:v>
      </x:c>
      <x:c r="I4" s="25"/>
      <x:c r="J4" s="25" t="s">
        <x:v>3</x:v>
      </x:c>
      <x:c r="K4" s="25"/>
      <x:c r="L4" s="25" t="s">
        <x:v>4</x:v>
      </x:c>
      <x:c r="M4" s="25"/>
    </x:row>
    <x:row r="5" ht="18.649999618530273" customHeight="1">
      <x:c r="A5" s="10" t="s">
        <x:v>5</x:v>
      </x:c>
      <x:c r="B5" s="11" t="s">
        <x:v>6</x:v>
      </x:c>
      <x:c r="F5" s="26" t="n">
        <x:f>COUNTA('WBS 작업목록'!$A$5:$A$77)</x:f>
        <x:v>73</x:v>
      </x:c>
      <x:c r="G5" s="26"/>
      <x:c r="H5" s="26" t="n">
        <x:f>COUNTIF('WBS 작업목록'!$B$5:$B$77,"P0")</x:f>
        <x:v>62</x:v>
      </x:c>
      <x:c r="I5" s="26"/>
      <x:c r="J5" s="27" t="n">
        <x:f>SUMIF('WBS 작업목록'!$B$5:$B$77,"P0",'WBS 작업목록'!$M$5:$M$77)</x:f>
        <x:v>89</x:v>
      </x:c>
      <x:c r="K5" s="27"/>
      <x:c r="L5" s="26" t="n">
        <x:f>COUNTIF('WBS 작업목록'!$N$5:$N$77,"완료")</x:f>
        <x:v>8</x:v>
      </x:c>
      <x:c r="M5" s="26"/>
    </x:row>
    <x:row r="6" ht="18.649999618530273" customHeight="1">
      <x:c r="A6" s="10" t="s">
        <x:v>7</x:v>
      </x:c>
      <x:c r="B6" s="11" t="s">
        <x:v>8</x:v>
      </x:c>
      <x:c r="F6" s="26"/>
      <x:c r="G6" s="26"/>
      <x:c r="H6" s="26"/>
      <x:c r="I6" s="26"/>
      <x:c r="J6" s="27"/>
      <x:c r="K6" s="27"/>
      <x:c r="L6" s="26"/>
      <x:c r="M6" s="26"/>
    </x:row>
    <x:row r="7" ht="18.649999618530273" customHeight="1">
      <x:c r="A7" s="10" t="s">
        <x:v>9</x:v>
      </x:c>
      <x:c r="B7" s="11" t="s">
        <x:v>10</x:v>
      </x:c>
    </x:row>
    <x:row r="8" ht="18.649999618530273" customHeight="1">
      <x:c r="A8" s="10" t="s">
        <x:v>11</x:v>
      </x:c>
      <x:c r="B8" s="11" t="s">
        <x:v>12</x:v>
      </x:c>
      <x:c r="F8" s="25" t="s">
        <x:v>13</x:v>
      </x:c>
      <x:c r="G8" s="25"/>
      <x:c r="H8" s="25" t="s">
        <x:v>14</x:v>
      </x:c>
      <x:c r="I8" s="25"/>
      <x:c r="J8" s="25" t="s">
        <x:v>15</x:v>
      </x:c>
      <x:c r="K8" s="25"/>
      <x:c r="L8" s="25" t="s">
        <x:v>16</x:v>
      </x:c>
      <x:c r="M8" s="25"/>
    </x:row>
    <x:row r="9" ht="18.649999618530273" customHeight="1">
      <x:c r="A9" s="10" t="s">
        <x:v>17</x:v>
      </x:c>
      <x:c r="B9" s="11" t="s">
        <x:v>18</x:v>
      </x:c>
      <x:c r="F9" s="26" t="n">
        <x:f>COUNTIF('WBS 작업목록'!$N$5:$N$77,"진행 중")</x:f>
        <x:v>8</x:v>
      </x:c>
      <x:c r="G9" s="26"/>
      <x:c r="H9" s="27" t="n">
        <x:f>SUM('WBS 작업목록'!$M$5:$M$77)</x:f>
        <x:v>94.5</x:v>
      </x:c>
      <x:c r="I9" s="27"/>
      <x:c r="J9" s="26" t="n">
        <x:f>COUNTIF('WBS 작업목록'!$B$5:$B$77,"P1")</x:f>
        <x:v>11</x:v>
      </x:c>
      <x:c r="K9" s="26"/>
      <x:c r="L9" s="28" t="n">
        <x:f>AVERAGE('WBS 작업목록'!$O$5:$O$77)</x:f>
        <x:v>0.1643835616438356</x:v>
      </x:c>
      <x:c r="M9" s="28"/>
    </x:row>
    <x:row r="10" ht="18.649999618530273" customHeight="1">
      <x:c r="A10" s="10" t="s">
        <x:v>19</x:v>
      </x:c>
      <x:c r="B10" s="11" t="s">
        <x:v>20</x:v>
      </x:c>
      <x:c r="F10" s="26"/>
      <x:c r="G10" s="26"/>
      <x:c r="H10" s="27"/>
      <x:c r="I10" s="27"/>
      <x:c r="J10" s="26"/>
      <x:c r="K10" s="26"/>
      <x:c r="L10" s="28"/>
      <x:c r="M10" s="28"/>
    </x:row>
    <x:row r="11" ht="18.649999618530273" customHeight="1">
      <x:c r="A11" s="10" t="s">
        <x:v>21</x:v>
      </x:c>
      <x:c r="B11" s="11" t="s">
        <x:v>22</x:v>
      </x:c>
    </x:row>
    <x:row r="12" ht="18.649999618530273" customHeight="1">
      <x:c r="A12" s="10" t="s">
        <x:v>23</x:v>
      </x:c>
      <x:c r="B12" s="11" t="s">
        <x:v>24</x:v>
      </x:c>
    </x:row>
    <x:row r="15">
      <x:c r="A15" s="9" t="s">
        <x:v>25</x:v>
      </x:c>
      <x:c r="B15" s="9" t="s">
        <x:v>26</x:v>
      </x:c>
      <x:c r="C15" s="9" t="s">
        <x:v>27</x:v>
      </x:c>
      <x:c r="E15" s="9" t="s">
        <x:v>28</x:v>
      </x:c>
      <x:c r="F15" s="9" t="s">
        <x:v>26</x:v>
      </x:c>
      <x:c r="G15" s="9" t="s">
        <x:v>27</x:v>
      </x:c>
    </x:row>
    <x:row r="16">
      <x:c r="A16" t="s">
        <x:v>29</x:v>
      </x:c>
      <x:c r="B16" s="12" t="n">
        <x:f>COUNTIF('WBS 작업목록'!$G$5:$G$77,A16)</x:f>
        <x:v>7</x:v>
      </x:c>
      <x:c r="C16" s="12" t="n">
        <x:f>SUMIF('WBS 작업목록'!$G$5:$G$77,A16,'WBS 작업목록'!$M$5:$M$77)</x:f>
        <x:v>8.5</x:v>
      </x:c>
      <x:c r="E16" t="s">
        <x:v>30</x:v>
      </x:c>
      <x:c r="F16" s="12" t="n">
        <x:f>COUNTIF('WBS 작업목록'!$N$5:$N$77,E16)</x:f>
        <x:v>57</x:v>
      </x:c>
      <x:c r="G16" s="12" t="n">
        <x:f>SUMIF('WBS 작업목록'!$N$5:$N$77,E16,'WBS 작업목록'!$M$5:$M$77)</x:f>
        <x:v>72</x:v>
      </x:c>
    </x:row>
    <x:row r="17">
      <x:c r="A17" t="s">
        <x:v>31</x:v>
      </x:c>
      <x:c r="B17" s="12" t="n">
        <x:f>COUNTIF('WBS 작업목록'!$G$5:$G$77,A17)</x:f>
        <x:v>8</x:v>
      </x:c>
      <x:c r="C17" s="12" t="n">
        <x:f>SUMIF('WBS 작업목록'!$G$5:$G$77,A17,'WBS 작업목록'!$M$5:$M$77)</x:f>
        <x:v>11.5</x:v>
      </x:c>
      <x:c r="E17" t="s">
        <x:v>13</x:v>
      </x:c>
      <x:c r="F17" s="12" t="n">
        <x:f>COUNTIF('WBS 작업목록'!$N$5:$N$77,E17)</x:f>
        <x:v>8</x:v>
      </x:c>
      <x:c r="G17" s="12" t="n">
        <x:f>SUMIF('WBS 작업목록'!$N$5:$N$77,E17,'WBS 작업목록'!$M$5:$M$77)</x:f>
        <x:v>11</x:v>
      </x:c>
    </x:row>
    <x:row r="18">
      <x:c r="A18" t="s">
        <x:v>32</x:v>
      </x:c>
      <x:c r="B18" s="12" t="n">
        <x:f>COUNTIF('WBS 작업목록'!$G$5:$G$77,A18)</x:f>
        <x:v>10</x:v>
      </x:c>
      <x:c r="C18" s="12" t="n">
        <x:f>SUMIF('WBS 작업목록'!$G$5:$G$77,A18,'WBS 작업목록'!$M$5:$M$77)</x:f>
        <x:v>10</x:v>
      </x:c>
      <x:c r="E18" t="s">
        <x:v>33</x:v>
      </x:c>
      <x:c r="F18" s="12" t="n">
        <x:f>COUNTIF('WBS 작업목록'!$N$5:$N$77,E18)</x:f>
        <x:v>8</x:v>
      </x:c>
      <x:c r="G18" s="12" t="n">
        <x:f>SUMIF('WBS 작업목록'!$N$5:$N$77,E18,'WBS 작업목록'!$M$5:$M$77)</x:f>
        <x:v>11.5</x:v>
      </x:c>
    </x:row>
    <x:row r="19">
      <x:c r="A19" t="s">
        <x:v>34</x:v>
      </x:c>
      <x:c r="B19" s="12" t="n">
        <x:f>COUNTIF('WBS 작업목록'!$G$5:$G$77,A19)</x:f>
        <x:v>22</x:v>
      </x:c>
      <x:c r="C19" s="12" t="n">
        <x:f>SUMIF('WBS 작업목록'!$G$5:$G$77,A19,'WBS 작업목록'!$M$5:$M$77)</x:f>
        <x:v>26</x:v>
      </x:c>
      <x:c r="E19" t="s">
        <x:v>35</x:v>
      </x:c>
      <x:c r="F19" s="12" t="n">
        <x:f>COUNTIF('WBS 작업목록'!$N$5:$N$77,E19)</x:f>
        <x:v>0</x:v>
      </x:c>
      <x:c r="G19" s="12" t="n">
        <x:f>SUMIF('WBS 작업목록'!$N$5:$N$77,E19,'WBS 작업목록'!$M$5:$M$77)</x:f>
        <x:v>0</x:v>
      </x:c>
    </x:row>
    <x:row r="20">
      <x:c r="A20" t="s">
        <x:v>36</x:v>
      </x:c>
      <x:c r="B20" s="12" t="n">
        <x:f>COUNTIF('WBS 작업목록'!$G$5:$G$77,A20)</x:f>
        <x:v>15</x:v>
      </x:c>
      <x:c r="C20" s="12" t="n">
        <x:f>SUMIF('WBS 작업목록'!$G$5:$G$77,A20,'WBS 작업목록'!$M$5:$M$77)</x:f>
        <x:v>21</x:v>
      </x:c>
      <x:c r="E20" t="s">
        <x:v>37</x:v>
      </x:c>
      <x:c r="F20" s="12" t="n">
        <x:f>COUNTIF('WBS 작업목록'!$N$5:$N$77,E20)</x:f>
        <x:v>0</x:v>
      </x:c>
      <x:c r="G20" s="12" t="n">
        <x:f>SUMIF('WBS 작업목록'!$N$5:$N$77,E20,'WBS 작업목록'!$M$5:$M$77)</x:f>
        <x:v>0</x:v>
      </x:c>
    </x:row>
    <x:row r="21">
      <x:c r="A21" t="s">
        <x:v>38</x:v>
      </x:c>
      <x:c r="B21" s="12" t="n">
        <x:f>COUNTIF('WBS 작업목록'!$G$5:$G$77,A21)</x:f>
        <x:v>11</x:v>
      </x:c>
      <x:c r="C21" s="12" t="n">
        <x:f>SUMIF('WBS 작업목록'!$G$5:$G$77,A21,'WBS 작업목록'!$M$5:$M$77)</x:f>
        <x:v>17.5</x:v>
      </x:c>
    </x:row>
    <x:row r="25">
      <x:c r="A25" s="29" t="s">
        <x:v>39</x:v>
      </x:c>
      <x:c r="B25" s="29"/>
      <x:c r="C25" s="29"/>
      <x:c r="D25" s="29"/>
      <x:c r="E25" s="29"/>
      <x:c r="F25" s="29"/>
      <x:c r="G25" s="29"/>
      <x:c r="H25" s="29"/>
      <x:c r="I25" s="29"/>
      <x:c r="J25" s="29"/>
      <x:c r="K25" s="29"/>
      <x:c r="L25" s="29"/>
      <x:c r="M25" s="29"/>
      <x:c r="N25" s="29"/>
    </x:row>
    <x:row r="26" ht="24" customHeight="1">
      <x:c r="A26" s="10" t="s">
        <x:v>40</x:v>
      </x:c>
      <x:c r="B26" s="11" t="s">
        <x:v>41</x:v>
      </x:c>
    </x:row>
    <x:row r="27" ht="24" customHeight="1">
      <x:c r="A27" s="10" t="s">
        <x:v>42</x:v>
      </x:c>
      <x:c r="B27" s="11" t="s">
        <x:v>43</x:v>
      </x:c>
    </x:row>
    <x:row r="28" ht="24" customHeight="1">
      <x:c r="A28" s="10" t="s">
        <x:v>44</x:v>
      </x:c>
      <x:c r="B28" s="11" t="s">
        <x:v>45</x:v>
      </x:c>
    </x:row>
    <x:row r="29" ht="24" customHeight="1">
      <x:c r="A29" s="10" t="s">
        <x:v>46</x:v>
      </x:c>
      <x:c r="B29" s="11" t="s">
        <x:v>47</x:v>
      </x:c>
    </x:row>
    <x:row r="30" ht="24" customHeight="1">
      <x:c r="A30" s="10" t="s">
        <x:v>48</x:v>
      </x:c>
      <x:c r="B30" s="11" t="s">
        <x:v>49</x:v>
      </x:c>
    </x:row>
    <x:row r="31" ht="24" customHeight="1">
      <x:c r="A31" s="10" t="s">
        <x:v>50</x:v>
      </x:c>
      <x:c r="B31" s="11" t="s">
        <x:v>51</x:v>
      </x:c>
    </x:row>
    <x:row r="32" ht="24" customHeight="1">
      <x:c r="A32" s="10" t="s">
        <x:v>52</x:v>
      </x:c>
      <x:c r="B32" s="11" t="s">
        <x:v>53</x:v>
      </x:c>
    </x:row>
    <x:row r="33" ht="24" customHeight="1">
      <x:c r="A33" s="10" t="s">
        <x:v>54</x:v>
      </x:c>
      <x:c r="B33" s="11" t="s">
        <x:v>55</x:v>
      </x:c>
    </x:row>
    <x:row r="34" ht="36" customHeight="1">
      <x:c r="A34" s="74" t="str">
        <x:v>계정 관리 정책</x:v>
      </x:c>
      <x:c r="B34" s="74" t="str">
        <x:v>합성 사용자 계정은 Django Admin 기반 내부 인터페이스에서 관리하고, 업무 역할과 관리자 권한을 분리한다. 사용자 삭제는 비활성화를 기본으로 하며 비활성화 시 기존 Refresh Token을 폐기하고 계정 변경 이력을 보존한다.</x:v>
      </x:c>
    </x:row>
    <x:row r="36">
      <x:c r="A36" s="29" t="s">
        <x:v>56</x:v>
      </x:c>
      <x:c r="B36" s="29"/>
      <x:c r="C36" s="29"/>
      <x:c r="D36" s="29"/>
      <x:c r="E36" s="29"/>
      <x:c r="F36" s="29"/>
      <x:c r="G36" s="29"/>
      <x:c r="H36" s="29"/>
      <x:c r="I36" s="29"/>
      <x:c r="J36" s="29"/>
      <x:c r="K36" s="29"/>
      <x:c r="L36" s="29"/>
      <x:c r="M36" s="29"/>
      <x:c r="N36" s="29"/>
    </x:row>
    <x:row r="37" ht="18.649999618530273" customHeight="1">
      <x:c r="A37" s="11" t="s">
        <x:v>57</x:v>
      </x:c>
      <x:c r="B37" s="11" t="s">
        <x:v>58</x:v>
      </x:c>
      <x:c r="C37" s="11" t="s">
        <x:v>59</x:v>
      </x:c>
    </x:row>
    <x:row r="38" ht="18.649999618530273" customHeight="1">
      <x:c r="A38" s="11" t="s">
        <x:v>60</x:v>
      </x:c>
      <x:c r="B38" s="11" t="s">
        <x:v>61</x:v>
      </x:c>
      <x:c r="C38" s="11" t="s">
        <x:v>62</x:v>
      </x:c>
    </x:row>
    <x:row r="39" ht="18.649999618530273" customHeight="1">
      <x:c r="A39" s="11" t="s">
        <x:v>63</x:v>
      </x:c>
      <x:c r="B39" s="11" t="s">
        <x:v>64</x:v>
      </x:c>
      <x:c r="C39" s="11" t="s">
        <x:v>65</x:v>
      </x:c>
    </x:row>
    <x:row r="40" ht="18.649999618530273" customHeight="1">
      <x:c r="A40" s="11" t="s">
        <x:v>66</x:v>
      </x:c>
      <x:c r="B40" s="11" t="s">
        <x:v>67</x:v>
      </x:c>
      <x:c r="C40" s="11" t="str">
        <x:v>Vector DB, 케어·문진·문의 기능, 내부 Django Admin 계정 관리 및 8/6 중간 발표</x:v>
      </x:c>
    </x:row>
    <x:row r="41" ht="18.649999618530273" customHeight="1">
      <x:c r="A41" s="11" t="s">
        <x:v>68</x:v>
      </x:c>
      <x:c r="B41" s="11" t="s">
        <x:v>69</x:v>
      </x:c>
      <x:c r="C41" s="11" t="s">
        <x:v>70</x:v>
      </x:c>
    </x:row>
    <x:row r="42" ht="18.649999618530273" customHeight="1">
      <x:c r="A42" s="11" t="s">
        <x:v>71</x:v>
      </x:c>
      <x:c r="B42" s="11" t="s">
        <x:v>72</x:v>
      </x:c>
      <x:c r="C42" s="11" t="s">
        <x:v>73</x:v>
      </x:c>
    </x:row>
    <x:row r="43" ht="18.649999618530273" customHeight="1">
      <x:c r="A43" s="11" t="s">
        <x:v>74</x:v>
      </x:c>
      <x:c r="B43" s="11" t="s">
        <x:v>75</x:v>
      </x:c>
      <x:c r="C43" s="11" t="s">
        <x:v>76</x:v>
      </x:c>
    </x:row>
    <x:row r="44" ht="18.649999618530273" customHeight="1">
      <x:c r="A44" s="11" t="s">
        <x:v>77</x:v>
      </x:c>
      <x:c r="B44" s="11" t="s">
        <x:v>78</x:v>
      </x:c>
      <x:c r="C44" s="11" t="s">
        <x:v>79</x:v>
      </x:c>
    </x:row>
    <x:row r="45" ht="18.649999618530273" customHeight="1">
      <x:c r="A45" s="11" t="s">
        <x:v>80</x:v>
      </x:c>
      <x:c r="B45" s="11" t="s">
        <x:v>81</x:v>
      </x:c>
      <x:c r="C45" s="11" t="str">
        <x:v>P1 운영 대시보드·반응형·성능·유지보수·관리자 권한 위임·본인 프로필 로드맵</x:v>
      </x:c>
    </x:row>
  </x:sheetData>
  <x:mergeCells>
    <x:mergeCell ref="L8:M8"/>
    <x:mergeCell ref="L9:M10"/>
    <x:mergeCell ref="A25:N25"/>
    <x:mergeCell ref="A36:N36"/>
    <x:mergeCell ref="F8:G8"/>
    <x:mergeCell ref="F9:G10"/>
    <x:mergeCell ref="H8:I8"/>
    <x:mergeCell ref="H9:I10"/>
    <x:mergeCell ref="J8:K8"/>
    <x:mergeCell ref="J9:K10"/>
    <x:mergeCell ref="A1:N1"/>
    <x:mergeCell ref="A2:N2"/>
    <x:mergeCell ref="A4:D4"/>
    <x:mergeCell ref="F4:G4"/>
    <x:mergeCell ref="F5:G6"/>
    <x:mergeCell ref="H4:I4"/>
    <x:mergeCell ref="H5:I6"/>
    <x:mergeCell ref="J4:K4"/>
    <x:mergeCell ref="J5:K6"/>
    <x:mergeCell ref="L4:M4"/>
    <x:mergeCell ref="L5:M6"/>
  </x:mergeCells>
  <x:pageMargins left="0.7" right="0.7" top="0.75" bottom="0.75" header="0.3" footer="0.3"/>
  <x:drawing xmlns:r="http://schemas.openxmlformats.org/officeDocument/2006/relationships" r:id="R6692fbb9910a4116"/>
</x:worksheet>
</file>

<file path=xl/worksheets/sheet2.xml><?xml version="1.0" encoding="utf-8"?>
<x:worksheet xmlns:x="http://schemas.openxmlformats.org/spreadsheetml/2006/main">
  <x:sheetFormatPr defaultRowHeight="14"/>
  <x:cols>
    <x:col min="1" max="1" width="12" customWidth="1"/>
    <x:col min="2" max="2" width="9" customWidth="1"/>
    <x:col min="3" max="3" width="18" customWidth="1"/>
    <x:col min="4" max="4" width="21" customWidth="1"/>
    <x:col min="5" max="5" width="55" customWidth="1"/>
    <x:col min="6" max="6" width="29" customWidth="1"/>
    <x:col min="7" max="7" width="22" customWidth="1"/>
    <x:col min="8" max="8" width="12" customWidth="1"/>
    <x:col min="9" max="9" width="29" customWidth="1"/>
    <x:col min="10" max="10" width="21" customWidth="1"/>
    <x:col min="11" max="12" width="13" customWidth="1"/>
    <x:col min="13" max="13" width="11" customWidth="1"/>
    <x:col min="14" max="14" width="12" customWidth="1"/>
    <x:col min="15" max="15" width="10" customWidth="1"/>
    <x:col min="16" max="16" width="22" customWidth="1"/>
    <x:col min="17" max="17" width="48" customWidth="1"/>
    <x:col min="18" max="18" width="31" customWidth="1"/>
  </x:cols>
  <x:sheetData>
    <x:row r="1" ht="20" customHeight="1">
      <x:c r="A1" s="30" t="str">
        <x:v>정수기 구독 고객 케어 및 A/S 업무 지원 시스템 — 수정 WBS v2.0</x:v>
      </x:c>
      <x:c r="B1" s="30"/>
      <x:c r="C1" s="30"/>
      <x:c r="D1" s="30"/>
      <x:c r="E1" s="30"/>
      <x:c r="F1" s="30"/>
      <x:c r="G1" s="30"/>
      <x:c r="H1" s="30"/>
      <x:c r="I1" s="30"/>
      <x:c r="J1" s="30"/>
      <x:c r="K1" s="30"/>
      <x:c r="L1" s="30"/>
      <x:c r="M1" s="30"/>
      <x:c r="N1" s="30"/>
      <x:c r="O1" s="30"/>
      <x:c r="P1" s="30"/>
      <x:c r="Q1" s="30"/>
      <x:c r="R1" s="30"/>
    </x:row>
    <x:row r="2">
      <x:c r="A2" s="31" t="str">
        <x:v>기준: 기획서 · 화면설계서 통합본 v11 · 요구사항정의서 v2.0 92건 · 수집데이터보고서 | 작성 기준일 2026-07-30</x:v>
      </x:c>
      <x:c r="B2" s="31"/>
      <x:c r="C2" s="31"/>
      <x:c r="D2" s="31"/>
      <x:c r="E2" s="31"/>
      <x:c r="F2" s="31"/>
      <x:c r="G2" s="31"/>
      <x:c r="H2" s="31"/>
      <x:c r="I2" s="31"/>
      <x:c r="J2" s="31"/>
      <x:c r="K2" s="31"/>
      <x:c r="L2" s="31"/>
      <x:c r="M2" s="31"/>
      <x:c r="N2" s="31"/>
      <x:c r="O2" s="31"/>
      <x:c r="P2" s="31"/>
      <x:c r="Q2" s="31"/>
      <x:c r="R2" s="31"/>
    </x:row>
    <x:row r="4" ht="28" customHeight="1">
      <x:c r="A4" s="68" t="s">
        <x:v>82</x:v>
      </x:c>
      <x:c r="B4" s="68" t="s">
        <x:v>83</x:v>
      </x:c>
      <x:c r="C4" s="68" t="s">
        <x:v>84</x:v>
      </x:c>
      <x:c r="D4" s="68" t="s">
        <x:v>85</x:v>
      </x:c>
      <x:c r="E4" s="68" t="s">
        <x:v>86</x:v>
      </x:c>
      <x:c r="F4" s="68" t="s">
        <x:v>87</x:v>
      </x:c>
      <x:c r="G4" s="68" t="s">
        <x:v>25</x:v>
      </x:c>
      <x:c r="H4" s="68" t="s">
        <x:v>88</x:v>
      </x:c>
      <x:c r="I4" s="68" t="s">
        <x:v>89</x:v>
      </x:c>
      <x:c r="J4" s="68" t="s">
        <x:v>90</x:v>
      </x:c>
      <x:c r="K4" s="68" t="s">
        <x:v>91</x:v>
      </x:c>
      <x:c r="L4" s="68" t="s">
        <x:v>92</x:v>
      </x:c>
      <x:c r="M4" s="68" t="s">
        <x:v>27</x:v>
      </x:c>
      <x:c r="N4" s="68" t="s">
        <x:v>28</x:v>
      </x:c>
      <x:c r="O4" s="68" t="s">
        <x:v>93</x:v>
      </x:c>
      <x:c r="P4" s="68" t="s">
        <x:v>94</x:v>
      </x:c>
      <x:c r="Q4" s="68" t="s">
        <x:v>95</x:v>
      </x:c>
      <x:c r="R4" s="68" t="s">
        <x:v>96</x:v>
      </x:c>
    </x:row>
    <x:row r="5" ht="44" customHeight="1">
      <x:c r="A5" s="75" t="str">
        <x:v>T-001</x:v>
      </x:c>
      <x:c r="B5" s="75" t="str">
        <x:v>P0</x:v>
      </x:c>
      <x:c r="C5" s="75" t="str">
        <x:v>설계·데이터 준비</x:v>
      </x:c>
      <x:c r="D5" s="75" t="str">
        <x:v>기획 및 설계</x:v>
      </x:c>
      <x:c r="E5" s="76" t="str">
        <x:v>요구사항 정의서의 P0·P1·제외 범위를 검토하고 WBS 작성 기준과 요구사항 추적 방식을 확정한다.</x:v>
      </x:c>
      <x:c r="F5" s="75" t="str">
        <x:v>전체 요구사항, CR-001~CR-014</x:v>
      </x:c>
      <x:c r="G5" s="75" t="str">
        <x:v>PM·기술 통합</x:v>
      </x:c>
      <x:c r="H5" s="75" t="str">
        <x:v>윤승혁</x:v>
      </x:c>
      <x:c r="I5" s="75" t="str">
        <x:v>관련 담당자</x:v>
      </x:c>
      <x:c r="J5" s="75" t="str">
        <x:v>-</x:v>
      </x:c>
      <x:c r="K5" s="87" t="n">
        <x:v>46220</x:v>
      </x:c>
      <x:c r="L5" s="87" t="n">
        <x:v>46220</x:v>
      </x:c>
      <x:c r="M5" s="78" t="n">
        <x:v>1</x:v>
      </x:c>
      <x:c r="N5" s="75" t="str">
        <x:v>완료</x:v>
      </x:c>
      <x:c r="O5" s="93" t="n">
        <x:f t="shared" ref="O5:O36" si="0">IF(N5="완료",1,IF(N5="진행 중",0.5,IF(N5="보류",0.25,0)))</x:f>
        <x:v>1</x:v>
      </x:c>
      <x:c r="P5" s="76"/>
      <x:c r="Q5" s="76" t="str">
        <x:v>MVP 포함·후순위·제외 항목이 구분되고 모든 작업이 요구사항 ID와 연결됨</x:v>
      </x:c>
      <x:c r="R5" s="76" t="str">
        <x:v>기획서 · 요구사항정의서 · 화면설계서</x:v>
      </x:c>
    </x:row>
    <x:row r="6" ht="44" customHeight="1">
      <x:c r="A6" s="75" t="str">
        <x:v>T-002</x:v>
      </x:c>
      <x:c r="B6" s="75" t="str">
        <x:v>P0</x:v>
      </x:c>
      <x:c r="C6" s="75" t="str">
        <x:v>설계·데이터 준비</x:v>
      </x:c>
      <x:c r="D6" s="75" t="str">
        <x:v>기획 및 설계</x:v>
      </x:c>
      <x:c r="E6" s="76" t="str">
        <x:v>고객 문의 접수부터 상담·방문·후속 확인·처리 완료까지 State Machine을 설계한다. START_CARE_PRECHECK, START_INQUIRY, SUBMIT_SYMPTOM, SAFE_GUIDANCE_READY, DANGER_DETECTED, NO_EVIDENCE, REQUEST_CONSULTATION, START_CONSULTATION, VISIT_NEEDED, UPDATE_VISIT_SCHEDULE, CONFIRM_VISIT, START_VISIT, VISIT_COMPLETED, SUBMIT_RESOLUTION_FEEDBACK, RESUME_CONSULTATION, FINALIZE_INQUIRY 등의 진입·가드·완료 조건을 정의한다.</x:v>
      </x:c>
      <x:c r="F6" s="75" t="str">
        <x:v>FR-019~FR-021, FR-025~FR-026, FR-032~FR-034, FR-038, NFR-015, DR-012</x:v>
      </x:c>
      <x:c r="G6" s="75" t="str">
        <x:v>PM·기술 통합</x:v>
      </x:c>
      <x:c r="H6" s="75" t="str">
        <x:v>윤승혁</x:v>
      </x:c>
      <x:c r="I6" s="75" t="str">
        <x:v>관련 담당자</x:v>
      </x:c>
      <x:c r="J6" s="75" t="str">
        <x:v>T-001</x:v>
      </x:c>
      <x:c r="K6" s="87" t="n">
        <x:v>46224</x:v>
      </x:c>
      <x:c r="L6" s="87" t="n">
        <x:v>46224</x:v>
      </x:c>
      <x:c r="M6" s="78" t="n">
        <x:v>1</x:v>
      </x:c>
      <x:c r="N6" s="75" t="str">
        <x:v>완료</x:v>
      </x:c>
      <x:c r="O6" s="93" t="n">
        <x:f t="shared" si="0"/>
        <x:v>1</x:v>
      </x:c>
      <x:c r="P6" s="76"/>
      <x:c r="Q6" s="76" t="str">
        <x:v>상태별 진입·완료 조건, 역할·담당자 권한, 현재 담당 주체, 다음 행동, 방문 일정과 자가 해결/상담·방문 완료 정책이 상태 전이도에 정의됨</x:v>
      </x:c>
      <x:c r="R6" s="76" t="str">
        <x:v>기획서 · 요구사항정의서 · 화면설계서</x:v>
      </x:c>
    </x:row>
    <x:row r="7" ht="44" customHeight="1">
      <x:c r="A7" s="75" t="str">
        <x:v>T-003</x:v>
      </x:c>
      <x:c r="B7" s="75" t="str">
        <x:v>P0</x:v>
      </x:c>
      <x:c r="C7" s="75" t="str">
        <x:v>설계·데이터 준비</x:v>
      </x:c>
      <x:c r="D7" s="75" t="str">
        <x:v>기획 및 설계</x:v>
      </x:c>
      <x:c r="E7" s="76" t="str">
        <x:v>고객·상담사·방문기사·운영 담당자의 역할별 화면, 조회 범위와 주요 사용 흐름을 정의한다.</x:v>
      </x:c>
      <x:c r="F7" s="75" t="str">
        <x:v>FR-001, NFR-011, NFR-014~NFR-015</x:v>
      </x:c>
      <x:c r="G7" s="75" t="str">
        <x:v>PM·기술 통합</x:v>
      </x:c>
      <x:c r="H7" s="75" t="str">
        <x:v>윤승혁</x:v>
      </x:c>
      <x:c r="I7" s="75" t="str">
        <x:v>관련 담당자</x:v>
      </x:c>
      <x:c r="J7" s="75" t="str">
        <x:v>T-001, T-002</x:v>
      </x:c>
      <x:c r="K7" s="87" t="n">
        <x:v>46224</x:v>
      </x:c>
      <x:c r="L7" s="87" t="n">
        <x:v>46225</x:v>
      </x:c>
      <x:c r="M7" s="78" t="n">
        <x:v>1</x:v>
      </x:c>
      <x:c r="N7" s="75" t="str">
        <x:v>완료</x:v>
      </x:c>
      <x:c r="O7" s="93" t="n">
        <x:f t="shared" si="0"/>
        <x:v>1</x:v>
      </x:c>
      <x:c r="P7" s="76"/>
      <x:c r="Q7" s="76" t="str">
        <x:v>역할별 메뉴·화면·권한 매트릭스가 작성됨</x:v>
      </x:c>
      <x:c r="R7" s="76" t="str">
        <x:v>기획서 · 요구사항정의서 · 화면설계서</x:v>
      </x:c>
    </x:row>
    <x:row r="8" ht="44" customHeight="1">
      <x:c r="A8" s="75" t="str">
        <x:v>T-004</x:v>
      </x:c>
      <x:c r="B8" s="75" t="str">
        <x:v>P0</x:v>
      </x:c>
      <x:c r="C8" s="75" t="str">
        <x:v>설계·데이터 준비</x:v>
      </x:c>
      <x:c r="D8" s="75" t="str">
        <x:v>기획 및 설계</x:v>
      </x:c>
      <x:c r="E8" s="76" t="str">
        <x:v>모바일 앱·웹 프론트엔드·백엔드 API·관계형 DB·Vector DB·AI/RAG·공식 근거 레지스트리 간 전체 시스템 아키텍처와 API 경계를 설계한다.</x:v>
      </x:c>
      <x:c r="F8" s="75" t="str">
        <x:v>NFR-006, NFR-009, NFR-017</x:v>
      </x:c>
      <x:c r="G8" s="75" t="str">
        <x:v>PM·기술 통합</x:v>
      </x:c>
      <x:c r="H8" s="75" t="str">
        <x:v>윤승혁</x:v>
      </x:c>
      <x:c r="I8" s="75" t="str">
        <x:v>관련 담당자</x:v>
      </x:c>
      <x:c r="J8" s="75" t="str">
        <x:v>T-001, T-002</x:v>
      </x:c>
      <x:c r="K8" s="87" t="n">
        <x:v>46223</x:v>
      </x:c>
      <x:c r="L8" s="87" t="n">
        <x:v>46224</x:v>
      </x:c>
      <x:c r="M8" s="78" t="n">
        <x:v>2</x:v>
      </x:c>
      <x:c r="N8" s="75" t="str">
        <x:v>완료</x:v>
      </x:c>
      <x:c r="O8" s="93" t="n">
        <x:f t="shared" si="0"/>
        <x:v>1</x:v>
      </x:c>
      <x:c r="P8" s="76"/>
      <x:c r="Q8" s="76" t="str">
        <x:v>구성도, 모듈 책임과 주요 API 목록이 확정됨</x:v>
      </x:c>
      <x:c r="R8" s="76" t="str">
        <x:v>기획서 · 요구사항정의서 · 화면설계서</x:v>
      </x:c>
    </x:row>
    <x:row r="9" ht="44" customHeight="1">
      <x:c r="A9" s="75" t="str">
        <x:v>T-005</x:v>
      </x:c>
      <x:c r="B9" s="75" t="str">
        <x:v>P0</x:v>
      </x:c>
      <x:c r="C9" s="75" t="str">
        <x:v>설계·데이터 준비</x:v>
      </x:c>
      <x:c r="D9" s="75" t="str">
        <x:v>데이터 설계</x:v>
      </x:c>
      <x:c r="E9" s="76" t="str">
        <x:v>사용자·구독·제품·케어·문진·문의·상담·방문·상태 이력에 현재 사용 안내 상태, 판단 근거, 적용 출수·기능 범위, 현재 담당 주체, 고객 행동 필요 여부, 방문 희망일, 방문 확정일과 일정 상태를 추가하여 ERD와 표준 코드 구조를 설계한다.</x:v>
      </x:c>
      <x:c r="F9" s="75" t="str">
        <x:v>FR-026, FR-032, FR-038, NFR-015, DR-001~DR-007, DR-010~DR-012, DR-014~DR-015</x:v>
      </x:c>
      <x:c r="G9" s="75" t="str">
        <x:v>백엔드·데이터베이스</x:v>
      </x:c>
      <x:c r="H9" s="75" t="str">
        <x:v>최지용</x:v>
      </x:c>
      <x:c r="I9" s="75" t="str">
        <x:v>윤승혁 · 김은진</x:v>
      </x:c>
      <x:c r="J9" s="75" t="str">
        <x:v>T-002, T-004</x:v>
      </x:c>
      <x:c r="K9" s="87" t="n">
        <x:v>46225</x:v>
      </x:c>
      <x:c r="L9" s="87" t="n">
        <x:v>46226</x:v>
      </x:c>
      <x:c r="M9" s="78" t="n">
        <x:v>2</x:v>
      </x:c>
      <x:c r="N9" s="75" t="str">
        <x:v>진행 중</x:v>
      </x:c>
      <x:c r="O9" s="93" t="n">
        <x:f t="shared" si="0"/>
        <x:v>0.5</x:v>
      </x:c>
      <x:c r="P9" s="76"/>
      <x:c r="Q9" s="76" t="str">
        <x:v>사용 안내 상태와 방문 일정 상태를 포함한 테이블·필드·표준 코드가 정의됨</x:v>
      </x:c>
      <x:c r="R9" s="76" t="str">
        <x:v>기획서 · 요구사항정의서 · 화면설계서</x:v>
      </x:c>
    </x:row>
    <x:row r="10" ht="44" customHeight="1">
      <x:c r="A10" s="75" t="str">
        <x:v>T-006</x:v>
      </x:c>
      <x:c r="B10" s="75" t="str">
        <x:v>P0</x:v>
      </x:c>
      <x:c r="C10" s="75" t="str">
        <x:v>설계·데이터 준비</x:v>
      </x:c>
      <x:c r="D10" s="75" t="str">
        <x:v>AI·Agent 설계</x:v>
      </x:c>
      <x:c r="E10" s="76" t="str">
        <x:v>AI·RAG 단계 간 공통 상태 객체와 표준 JSON 스키마를 정의한다. 현재 사용 안내 필드는 usage_guidance_status, usage_guidance_message를 사용하고 restricted_functions, evidence, next_action, requires_consultation을 포함한다.</x:v>
      </x:c>
      <x:c r="F10" s="75" t="str">
        <x:v>NFR-005~NFR-006, DR-007, DR-009</x:v>
      </x:c>
      <x:c r="G10" s="75" t="str">
        <x:v>AI·RAG</x:v>
      </x:c>
      <x:c r="H10" s="75" t="str">
        <x:v>이동윤</x:v>
      </x:c>
      <x:c r="I10" s="75" t="str">
        <x:v>최지용 · 김은진</x:v>
      </x:c>
      <x:c r="J10" s="75" t="str">
        <x:v>T-004, T-005</x:v>
      </x:c>
      <x:c r="K10" s="87" t="n">
        <x:v>46225</x:v>
      </x:c>
      <x:c r="L10" s="87" t="n">
        <x:v>46226</x:v>
      </x:c>
      <x:c r="M10" s="78" t="n">
        <x:v>1.5</x:v>
      </x:c>
      <x:c r="N10" s="75" t="str">
        <x:v>진행 중</x:v>
      </x:c>
      <x:c r="O10" s="93" t="n">
        <x:f t="shared" si="0"/>
        <x:v>0.5</x:v>
      </x:c>
      <x:c r="P10" s="76"/>
      <x:c r="Q10" s="76" t="str">
        <x:v>usage_guidance_status, usage_guidance_message, restricted_functions, evidence, next_action, requires_consultation과 누락·재생성 규칙이 확정되고 위험도는 general/caution/danger로 통일됨</x:v>
      </x:c>
      <x:c r="R10" s="76" t="str">
        <x:v>기획서 · 요구사항정의서 · 화면설계서</x:v>
      </x:c>
    </x:row>
    <x:row r="11" ht="44" customHeight="1">
      <x:c r="A11" s="75" t="str">
        <x:v>T-007</x:v>
      </x:c>
      <x:c r="B11" s="75" t="str">
        <x:v>P0</x:v>
      </x:c>
      <x:c r="C11" s="75" t="str">
        <x:v>설계·데이터 준비</x:v>
      </x:c>
      <x:c r="D11" s="75" t="str">
        <x:v>품질 및 테스트 설계</x:v>
      </x:c>
      <x:c r="E11" s="76" t="str">
        <x:v>P0 기능·AI·RAG·안전성·State Machine·권한·중복 요청·EvidenceCardDTO 비노출 항목에 대한 테스트 기준과 데이터 분할, 인수 기준을 설계한다.</x:v>
      </x:c>
      <x:c r="F11" s="75" t="str">
        <x:v>NFR-001~NFR-007, NFR-009~NFR-010, NFR-014~NFR-015, NFR-017</x:v>
      </x:c>
      <x:c r="G11" s="75" t="str">
        <x:v>데이터·QA·DevOps</x:v>
      </x:c>
      <x:c r="H11" s="75" t="str">
        <x:v>김은진</x:v>
      </x:c>
      <x:c r="I11" s="75" t="str">
        <x:v>윤승혁</x:v>
      </x:c>
      <x:c r="J11" s="75" t="str">
        <x:v>T-001~T-006</x:v>
      </x:c>
      <x:c r="K11" s="87" t="n">
        <x:v>46226</x:v>
      </x:c>
      <x:c r="L11" s="87" t="n">
        <x:v>46227</x:v>
      </x:c>
      <x:c r="M11" s="78" t="n">
        <x:v>1</x:v>
      </x:c>
      <x:c r="N11" s="75" t="str">
        <x:v>진행 중</x:v>
      </x:c>
      <x:c r="O11" s="93" t="n">
        <x:f t="shared" si="0"/>
        <x:v>0.5</x:v>
      </x:c>
      <x:c r="P11" s="76"/>
      <x:c r="Q11" s="76" t="str">
        <x:v>4개 사용 안내 상태와 문의 진행 상태별 정답·인수 기준이 정의됨</x:v>
      </x:c>
      <x:c r="R11" s="76" t="str">
        <x:v>기획서 · 요구사항정의서 · 화면설계서</x:v>
      </x:c>
    </x:row>
    <x:row r="12" ht="44" customHeight="1">
      <x:c r="A12" s="75" t="str">
        <x:v>T-008</x:v>
      </x:c>
      <x:c r="B12" s="75" t="str">
        <x:v>P0</x:v>
      </x:c>
      <x:c r="C12" s="75" t="str">
        <x:v>설계·데이터 준비</x:v>
      </x:c>
      <x:c r="D12" s="75" t="str">
        <x:v>데이터 수집</x:v>
      </x:c>
      <x:c r="E12" s="76" t="str">
        <x:v>기본 MVP 제품을 WPUJAC104DWH(매뉴얼 적용 모델 WPU-JAC104D·WPU-JCC104D REV.00)로 고정하고, 후속 확장 WPUIAC425SNW는 MVP 검색·화면에서 제외한다. 대표 증상은 출수량 저하, 물맛·냄새 이상, 제품 누수, 냉·온수 온도 이상 4종으로 확정한다.</x:v>
      </x:c>
      <x:c r="F12" s="75" t="str">
        <x:v>CR-002~CR-003, CR-009, CR-012</x:v>
      </x:c>
      <x:c r="G12" s="75" t="str">
        <x:v>데이터·QA·DevOps</x:v>
      </x:c>
      <x:c r="H12" s="75" t="str">
        <x:v>김은진</x:v>
      </x:c>
      <x:c r="I12" s="75" t="str">
        <x:v>이동윤 · 윤승혁</x:v>
      </x:c>
      <x:c r="J12" s="75" t="str">
        <x:v>T-001</x:v>
      </x:c>
      <x:c r="K12" s="87" t="n">
        <x:v>46220</x:v>
      </x:c>
      <x:c r="L12" s="87" t="n">
        <x:v>46220</x:v>
      </x:c>
      <x:c r="M12" s="78" t="n">
        <x:v>1</x:v>
      </x:c>
      <x:c r="N12" s="75" t="str">
        <x:v>완료</x:v>
      </x:c>
      <x:c r="O12" s="93" t="n">
        <x:f t="shared" si="0"/>
        <x:v>1</x:v>
      </x:c>
      <x:c r="P12" s="76"/>
      <x:c r="Q12" s="76" t="str">
        <x:v>MVP·확장 모델과 4개 증상이 확정되고 WPU-IAC506 removed_legacy, JAC104 S세대 혼용 금지, 대표 E2E SYN-JAC104-002/DEMO-INQ-002/매뉴얼 38쪽이 문서화됨</x:v>
      </x:c>
      <x:c r="R12" s="76" t="str">
        <x:v>기획서 · 요구사항정의서 · 화면설계서</x:v>
      </x:c>
    </x:row>
    <x:row r="13" ht="44" customHeight="1">
      <x:c r="A13" s="75" t="str">
        <x:v>T-009</x:v>
      </x:c>
      <x:c r="B13" s="75" t="str">
        <x:v>P0</x:v>
      </x:c>
      <x:c r="C13" s="75" t="str">
        <x:v>설계·데이터 준비</x:v>
      </x:c>
      <x:c r="D13" s="75" t="str">
        <x:v>데이터 수집</x:v>
      </x:c>
      <x:c r="E13" s="76" t="str">
        <x:v>WPU-JAC104D·WPU-JCC104D REV.00 공식 매뉴얼, 조건부 공식 FAQ와 관리 기준 자료를 수집하고 출처·버전·페이지·해시·제품 세대 메타데이터를 정리한다.</x:v>
      </x:c>
      <x:c r="F13" s="75" t="str">
        <x:v>FR-015, DR-008, CR-009</x:v>
      </x:c>
      <x:c r="G13" s="75" t="str">
        <x:v>데이터·QA·DevOps</x:v>
      </x:c>
      <x:c r="H13" s="75" t="str">
        <x:v>김은진</x:v>
      </x:c>
      <x:c r="I13" s="75" t="str">
        <x:v>이동윤 · 윤승혁</x:v>
      </x:c>
      <x:c r="J13" s="75" t="str">
        <x:v>T-008</x:v>
      </x:c>
      <x:c r="K13" s="87" t="n">
        <x:v>46223</x:v>
      </x:c>
      <x:c r="L13" s="87" t="n">
        <x:v>46224</x:v>
      </x:c>
      <x:c r="M13" s="78" t="n">
        <x:v>2</x:v>
      </x:c>
      <x:c r="N13" s="75" t="str">
        <x:v>완료</x:v>
      </x:c>
      <x:c r="O13" s="93" t="n">
        <x:f t="shared" si="0"/>
        <x:v>1</x:v>
      </x:c>
      <x:c r="P13" s="76"/>
      <x:c r="Q13" s="76" t="str">
        <x:v>원문 파일과 문서 메타데이터 목록이 준비됨</x:v>
      </x:c>
      <x:c r="R13" s="76" t="str">
        <x:v>수집데이터보고서 · 기획서 6장 · 화면설계서 1~3장</x:v>
      </x:c>
    </x:row>
    <x:row r="14" ht="44" customHeight="1">
      <x:c r="A14" s="75" t="str">
        <x:v>T-010</x:v>
      </x:c>
      <x:c r="B14" s="75" t="str">
        <x:v>P0</x:v>
      </x:c>
      <x:c r="C14" s="75" t="str">
        <x:v>설계·데이터 준비</x:v>
      </x:c>
      <x:c r="D14" s="75" t="str">
        <x:v>RAG 데이터 구축</x:v>
      </x:c>
      <x:c r="E14" s="76" t="str">
        <x:v>공식 매뉴얼을 제품·증상·페이지 기준으로 정제·분할하고 모델·세대·적용성·사용 정책 메타데이터를 부여한다. D세대와 S세대, MVP와 후속 확장 데이터를 물리적으로 분리한다.</x:v>
      </x:c>
      <x:c r="F14" s="75" t="str">
        <x:v>FR-015, DR-008</x:v>
      </x:c>
      <x:c r="G14" s="75" t="str">
        <x:v>데이터·QA·DevOps</x:v>
      </x:c>
      <x:c r="H14" s="75" t="str">
        <x:v>김은진</x:v>
      </x:c>
      <x:c r="I14" s="75" t="str">
        <x:v>이동윤 · 윤승혁</x:v>
      </x:c>
      <x:c r="J14" s="75" t="str">
        <x:v>T-009</x:v>
      </x:c>
      <x:c r="K14" s="87" t="n">
        <x:v>46223</x:v>
      </x:c>
      <x:c r="L14" s="87" t="n">
        <x:v>46225</x:v>
      </x:c>
      <x:c r="M14" s="78" t="n">
        <x:v>1.5</x:v>
      </x:c>
      <x:c r="N14" s="75" t="str">
        <x:v>완료</x:v>
      </x:c>
      <x:c r="O14" s="93" t="n">
        <x:f t="shared" si="0"/>
        <x:v>1</x:v>
      </x:c>
      <x:c r="P14" s="76"/>
      <x:c r="Q14" s="76" t="str">
        <x:v>중복·불필요 구간이 제거된 청크 데이터가 생성됨</x:v>
      </x:c>
      <x:c r="R14" s="76" t="str">
        <x:v>수집데이터보고서 · 기획서 6장 · 화면설계서 1~3장</x:v>
      </x:c>
    </x:row>
    <x:row r="15" ht="44" customHeight="1">
      <x:c r="A15" s="75" t="str">
        <x:v>T-011</x:v>
      </x:c>
      <x:c r="B15" s="75" t="str">
        <x:v>P0</x:v>
      </x:c>
      <x:c r="C15" s="75" t="str">
        <x:v>설계·데이터 준비</x:v>
      </x:c>
      <x:c r="D15" s="75" t="str">
        <x:v>RAG 데이터 구축</x:v>
      </x:c>
      <x:c r="E15" s="76" t="str">
        <x:v>임베딩 생성, Vector DB 인덱스 구성과 제품 모델·증상 필터 기반 검색 파이프라인을 구현한다.</x:v>
      </x:c>
      <x:c r="F15" s="75" t="str">
        <x:v>FR-015, NFR-001~NFR-002, DR-008~DR-009</x:v>
      </x:c>
      <x:c r="G15" s="75" t="str">
        <x:v>AI·RAG</x:v>
      </x:c>
      <x:c r="H15" s="75" t="str">
        <x:v>이동윤</x:v>
      </x:c>
      <x:c r="I15" s="75" t="str">
        <x:v>김은진</x:v>
      </x:c>
      <x:c r="J15" s="75" t="str">
        <x:v>T-010</x:v>
      </x:c>
      <x:c r="K15" s="87" t="n">
        <x:v>46231</x:v>
      </x:c>
      <x:c r="L15" s="87" t="n">
        <x:v>46232</x:v>
      </x:c>
      <x:c r="M15" s="78" t="n">
        <x:v>2</x:v>
      </x:c>
      <x:c r="N15" s="75" t="str">
        <x:v>미착수</x:v>
      </x:c>
      <x:c r="O15" s="93" t="n">
        <x:f t="shared" si="0"/>
        <x:v>0</x:v>
      </x:c>
      <x:c r="P15" s="76"/>
      <x:c r="Q15" s="76" t="str">
        <x:v>질의 시 관련 청크·문서명·페이지가 반환됨</x:v>
      </x:c>
      <x:c r="R15" s="76" t="str">
        <x:v>수집데이터보고서 · 기획서 6장 · 화면설계서 1~3장</x:v>
      </x:c>
    </x:row>
    <x:row r="16" ht="44" customHeight="1">
      <x:c r="A16" s="75" t="str">
        <x:v>T-012</x:v>
      </x:c>
      <x:c r="B16" s="75" t="str">
        <x:v>P0</x:v>
      </x:c>
      <x:c r="C16" s="75" t="str">
        <x:v>설계·데이터 준비</x:v>
      </x:c>
      <x:c r="D16" s="75" t="str">
        <x:v>RAG 데이터 구축</x:v>
      </x:c>
      <x:c r="E16" s="76" t="str">
        <x:v>대표 증상별 정답 문서·페이지와 Top-k 검색 평가 세트를 구축하고, 미검증 FAQ 단독 검색과 제품·세대 불일치 검색이 차단되는지 검증한다.</x:v>
      </x:c>
      <x:c r="F16" s="75" t="str">
        <x:v>FR-015, NFR-005, DR-009</x:v>
      </x:c>
      <x:c r="G16" s="75" t="str">
        <x:v>데이터·QA·DevOps</x:v>
      </x:c>
      <x:c r="H16" s="75" t="str">
        <x:v>김은진</x:v>
      </x:c>
      <x:c r="I16" s="75" t="str">
        <x:v>이동윤 · 윤승혁</x:v>
      </x:c>
      <x:c r="J16" s="75" t="str">
        <x:v>T-011</x:v>
      </x:c>
      <x:c r="K16" s="87" t="n">
        <x:v>46225</x:v>
      </x:c>
      <x:c r="L16" s="87" t="n">
        <x:v>46227</x:v>
      </x:c>
      <x:c r="M16" s="78" t="n">
        <x:v>1</x:v>
      </x:c>
      <x:c r="N16" s="75" t="str">
        <x:v>진행 중</x:v>
      </x:c>
      <x:c r="O16" s="93" t="n">
        <x:f t="shared" si="0"/>
        <x:v>0.5</x:v>
      </x:c>
      <x:c r="P16" s="76"/>
      <x:c r="Q16" s="76" t="str">
        <x:v>증상별 정답 구간과 Top-k 평가용 데이터가 준비됨</x:v>
      </x:c>
      <x:c r="R16" s="76" t="str">
        <x:v>수집데이터보고서 · 기획서 6장 · 화면설계서 1~3장</x:v>
      </x:c>
    </x:row>
    <x:row r="17" ht="44" customHeight="1">
      <x:c r="A17" s="75" t="str">
        <x:v>T-013</x:v>
      </x:c>
      <x:c r="B17" s="75" t="str">
        <x:v>P0</x:v>
      </x:c>
      <x:c r="C17" s="75" t="str">
        <x:v>설계·데이터 준비</x:v>
      </x:c>
      <x:c r="D17" s="75" t="str">
        <x:v>가상 데이터 구축</x:v>
      </x:c>
      <x:c r="E17" s="76" t="str">
        <x:v>가상 사용자·구독 제품·관리 유형·필터 교체·살균·세척·다음 케어 일정 데이터를 생성한다.</x:v>
      </x:c>
      <x:c r="F17" s="75" t="str">
        <x:v>FR-002~FR-007, FR-016, FR-039, DR-002~DR-005, CR-008, CR-013</x:v>
      </x:c>
      <x:c r="G17" s="75" t="str">
        <x:v>데이터·QA·DevOps</x:v>
      </x:c>
      <x:c r="H17" s="75" t="str">
        <x:v>김은진</x:v>
      </x:c>
      <x:c r="I17" s="75" t="str">
        <x:v>이동윤 · 윤승혁</x:v>
      </x:c>
      <x:c r="J17" s="75" t="str">
        <x:v>T-005, T-008</x:v>
      </x:c>
      <x:c r="K17" s="87" t="n">
        <x:v>46225</x:v>
      </x:c>
      <x:c r="L17" s="87" t="n">
        <x:v>46227</x:v>
      </x:c>
      <x:c r="M17" s="78" t="n">
        <x:v>1.5</x:v>
      </x:c>
      <x:c r="N17" s="75" t="str">
        <x:v>진행 중</x:v>
      </x:c>
      <x:c r="O17" s="93" t="n">
        <x:f t="shared" si="0"/>
        <x:v>0.5</x:v>
      </x:c>
      <x:c r="P17" s="76"/>
      <x:c r="Q17" s="76" t="str">
        <x:v>역할별 합성 계정과 대표 구독·케어 이력이 DB에 적재되고 내부 관리자 인터페이스에서 조회 가능한 형태로 준비됨</x:v>
      </x:c>
      <x:c r="R17" s="76" t="str">
        <x:v>수집데이터보고서 · 기획서 6장 · 화면설계서 1~3장</x:v>
      </x:c>
    </x:row>
    <x:row r="18" ht="44" customHeight="1">
      <x:c r="A18" s="75" t="str">
        <x:v>T-014</x:v>
      </x:c>
      <x:c r="B18" s="75" t="str">
        <x:v>P0</x:v>
      </x:c>
      <x:c r="C18" s="75" t="str">
        <x:v>설계·데이터 준비</x:v>
      </x:c>
      <x:c r="D18" s="75" t="str">
        <x:v>가상 데이터 구축</x:v>
      </x:c>
      <x:c r="E18" s="76" t="str">
        <x:v>WPUJAC104DWH 합성 문의 6건을 생성하고 각 시나리오에 공식 근거, 기대 위험도, usage_guidance_status, 상담·방문·완료 이벤트와 해결 여부를 연결한다.</x:v>
      </x:c>
      <x:c r="F18" s="75" t="str">
        <x:v>FR-008~FR-034, FR-038, DR-006~DR-012, CR-008</x:v>
      </x:c>
      <x:c r="G18" s="75" t="str">
        <x:v>데이터·QA·DevOps</x:v>
      </x:c>
      <x:c r="H18" s="75" t="str">
        <x:v>김은진</x:v>
      </x:c>
      <x:c r="I18" s="75" t="str">
        <x:v>이동윤 · 윤승혁</x:v>
      </x:c>
      <x:c r="J18" s="75" t="str">
        <x:v>T-002, T-008, T-013</x:v>
      </x:c>
      <x:c r="K18" s="87" t="n">
        <x:v>46223</x:v>
      </x:c>
      <x:c r="L18" s="87" t="n">
        <x:v>46225</x:v>
      </x:c>
      <x:c r="M18" s="78" t="n">
        <x:v>2</x:v>
      </x:c>
      <x:c r="N18" s="75" t="str">
        <x:v>완료</x:v>
      </x:c>
      <x:c r="O18" s="93" t="n">
        <x:f t="shared" si="0"/>
        <x:v>1</x:v>
      </x:c>
      <x:c r="P18" s="76"/>
      <x:c r="Q18" s="76" t="str">
        <x:v>사용 안내부터 상담·방문·후속 해결 확인까지 P0 전체 흐름을 재현할 시나리오가 준비됨</x:v>
      </x:c>
      <x:c r="R18" s="76" t="str">
        <x:v>수집데이터보고서 · 기획서 6장 · 화면설계서 1~3장</x:v>
      </x:c>
    </x:row>
    <x:row r="19" ht="44" customHeight="1">
      <x:c r="A19" s="75" t="str">
        <x:v>T-015</x:v>
      </x:c>
      <x:c r="B19" s="75" t="str">
        <x:v>P0</x:v>
      </x:c>
      <x:c r="C19" s="75" t="str">
        <x:v>설계·데이터 준비</x:v>
      </x:c>
      <x:c r="D19" s="75" t="str">
        <x:v>안전 규칙 구축</x:v>
      </x:c>
      <x:c r="E19" s="76" t="str">
        <x:v>누수·전기·화상·온수 모듈 경고와 근거 부재에 대해 일반 사용 가능, 일부 출수·기능 사용 중지, 제품 전체 사용 중지, 판단 보류·상담 필요로 분기하는 규칙·금지 행동·고객 문구를 정의한다.</x:v>
      </x:c>
      <x:c r="F19" s="75" t="str">
        <x:v>FR-013, FR-018~FR-019, FR-038, NFR-001~NFR-004, CR-010~CR-011</x:v>
      </x:c>
      <x:c r="G19" s="75" t="str">
        <x:v>AI·RAG</x:v>
      </x:c>
      <x:c r="H19" s="75" t="str">
        <x:v>이동윤</x:v>
      </x:c>
      <x:c r="I19" s="75" t="str">
        <x:v>김은진 · 윤승혁</x:v>
      </x:c>
      <x:c r="J19" s="75" t="str">
        <x:v>T-008, T-009</x:v>
      </x:c>
      <x:c r="K19" s="87" t="n">
        <x:v>46225</x:v>
      </x:c>
      <x:c r="L19" s="87" t="n">
        <x:v>46230</x:v>
      </x:c>
      <x:c r="M19" s="78" t="n">
        <x:v>1.5</x:v>
      </x:c>
      <x:c r="N19" s="75" t="str">
        <x:v>진행 중</x:v>
      </x:c>
      <x:c r="O19" s="93" t="n">
        <x:f t="shared" si="0"/>
        <x:v>0.5</x:v>
      </x:c>
      <x:c r="P19" s="76"/>
      <x:c r="Q19" s="76" t="str">
        <x:v>위험·근거 조건별 사용 안내 상태, 제한 범위와 고객의 다음 행동이 규칙표로 확정됨</x:v>
      </x:c>
      <x:c r="R19" s="76" t="str">
        <x:v>수집데이터보고서 · 기획서 6장 · 화면설계서 1~3장</x:v>
      </x:c>
    </x:row>
    <x:row r="20" ht="44" customHeight="1">
      <x:c r="A20" s="75" t="str">
        <x:v>T-016</x:v>
      </x:c>
      <x:c r="B20" s="75" t="str">
        <x:v>P0</x:v>
      </x:c>
      <x:c r="C20" s="75" t="str">
        <x:v>백엔드 기반</x:v>
      </x:c>
      <x:c r="D20" s="75" t="str">
        <x:v>백엔드 공통</x:v>
      </x:c>
      <x:c r="E20" s="76" t="str">
        <x:v>백엔드 프로젝트 구조, 환경변수, 공통 응답·예외 처리와 개발 환경을 구성한다.</x:v>
      </x:c>
      <x:c r="F20" s="75" t="str">
        <x:v>NFR-009, NFR-017</x:v>
      </x:c>
      <x:c r="G20" s="75" t="str">
        <x:v>백엔드·데이터베이스</x:v>
      </x:c>
      <x:c r="H20" s="75" t="str">
        <x:v>최지용</x:v>
      </x:c>
      <x:c r="I20" s="75" t="str">
        <x:v>김은진</x:v>
      </x:c>
      <x:c r="J20" s="75" t="str">
        <x:v>T-004</x:v>
      </x:c>
      <x:c r="K20" s="87" t="n">
        <x:v>46226</x:v>
      </x:c>
      <x:c r="L20" s="87" t="n">
        <x:v>46226</x:v>
      </x:c>
      <x:c r="M20" s="78" t="n">
        <x:v>1</x:v>
      </x:c>
      <x:c r="N20" s="75" t="str">
        <x:v>진행 중</x:v>
      </x:c>
      <x:c r="O20" s="93" t="n">
        <x:f t="shared" si="0"/>
        <x:v>0.5</x:v>
      </x:c>
      <x:c r="P20" s="76"/>
      <x:c r="Q20" s="76" t="str">
        <x:v>로컬 환경에서 서버 실행과 공통 오류 응답이 확인됨</x:v>
      </x:c>
      <x:c r="R20" s="76" t="str">
        <x:v>요구사항정의서 · 화면설계서 State Machine/데이터 계약</x:v>
      </x:c>
    </x:row>
    <x:row r="21" ht="44" customHeight="1">
      <x:c r="A21" s="75" t="str">
        <x:v>T-017</x:v>
      </x:c>
      <x:c r="B21" s="75" t="str">
        <x:v>P0</x:v>
      </x:c>
      <x:c r="C21" s="75" t="str">
        <x:v>백엔드 기반</x:v>
      </x:c>
      <x:c r="D21" s="75" t="str">
        <x:v>사용자·권한</x:v>
      </x:c>
      <x:c r="E21" s="76" t="str">
        <x:v>가상 로그인과 역할 기반 접근 제어를 구현하여 역할별 API와 데이터 조회 범위를 제한한다.</x:v>
      </x:c>
      <x:c r="F21" s="75" t="str">
        <x:v>FR-001, NFR-011~NFR-012, DR-001~DR-002</x:v>
      </x:c>
      <x:c r="G21" s="75" t="str">
        <x:v>백엔드·데이터베이스</x:v>
      </x:c>
      <x:c r="H21" s="75" t="str">
        <x:v>최지용</x:v>
      </x:c>
      <x:c r="I21" s="75" t="str">
        <x:v>김은진</x:v>
      </x:c>
      <x:c r="J21" s="75" t="str">
        <x:v>T-005, T-016</x:v>
      </x:c>
      <x:c r="K21" s="87" t="n">
        <x:v>46227</x:v>
      </x:c>
      <x:c r="L21" s="87" t="n">
        <x:v>46230</x:v>
      </x:c>
      <x:c r="M21" s="78" t="n">
        <x:v>1.5</x:v>
      </x:c>
      <x:c r="N21" s="75" t="str">
        <x:v>미착수</x:v>
      </x:c>
      <x:c r="O21" s="93" t="n">
        <x:f t="shared" si="0"/>
        <x:v>0</x:v>
      </x:c>
      <x:c r="P21" s="76"/>
      <x:c r="Q21" s="76" t="str">
        <x:v>고객은 본인 데이터, 기사는 배정 건만 접근 가능함</x:v>
      </x:c>
      <x:c r="R21" s="76" t="str">
        <x:v>요구사항정의서 · 화면설계서 State Machine/데이터 계약</x:v>
      </x:c>
    </x:row>
    <x:row r="22" ht="44" customHeight="1">
      <x:c r="A22" s="75" t="str">
        <x:v>T-017A</x:v>
      </x:c>
      <x:c r="B22" s="75" t="str">
        <x:v>P0</x:v>
      </x:c>
      <x:c r="C22" s="75" t="str">
        <x:v>백엔드 기반</x:v>
      </x:c>
      <x:c r="D22" s="75" t="str">
        <x:v>사용자 계정 관리 설계</x:v>
      </x:c>
      <x:c r="E22" s="76" t="str">
        <x:v>합성 사용자 계정의 단일 원장, 업무 역할과 관리자 권한의 분리, 비활성화·물리 삭제 제한, 감사 이력과 관리자 접근 정책을 확정한다.</x:v>
      </x:c>
      <x:c r="F22" s="75" t="str">
        <x:v>FR-039, FR-042, NFR-019~NFR-020, DR-016, CR-013~CR-014</x:v>
      </x:c>
      <x:c r="G22" s="75" t="str">
        <x:v>백엔드·데이터베이스</x:v>
      </x:c>
      <x:c r="H22" s="75" t="str">
        <x:v>최지용</x:v>
      </x:c>
      <x:c r="I22" s="75" t="str">
        <x:v>윤승혁 · 김은진</x:v>
      </x:c>
      <x:c r="J22" s="75" t="str">
        <x:v>T-005, T-017</x:v>
      </x:c>
      <x:c r="K22" s="87" t="n">
        <x:v>46233</x:v>
      </x:c>
      <x:c r="L22" s="87" t="n">
        <x:v>46233</x:v>
      </x:c>
      <x:c r="M22" s="78" t="n">
        <x:v>0.5</x:v>
      </x:c>
      <x:c r="N22" s="75" t="str">
        <x:v>미착수</x:v>
      </x:c>
      <x:c r="O22" s="93" t="n">
        <x:f t="shared" si="0"/>
        <x:v>0</x:v>
      </x:c>
      <x:c r="P22" s="76"/>
      <x:c r="Q22" s="76" t="str">
        <x:v>`accounts.User` 단일 원장, Django Group·Permission 경계, 비활성·삭제·감사 정책과 필수 필드가 승인됨</x:v>
      </x:c>
      <x:c r="R22" s="76" t="str">
        <x:v>요구사항정의서 v2 · 사용자 계정 CRUD 제안서</x:v>
      </x:c>
    </x:row>
    <x:row r="23" ht="44" customHeight="1">
      <x:c r="A23" s="75" t="str">
        <x:v>T-017B</x:v>
      </x:c>
      <x:c r="B23" s="75" t="str">
        <x:v>P0</x:v>
      </x:c>
      <x:c r="C23" s="75" t="str">
        <x:v>백엔드 기반</x:v>
      </x:c>
      <x:c r="D23" s="75" t="str">
        <x:v>내부 계정 관리</x:v>
      </x:c>
      <x:c r="E23" s="76" t="str">
        <x:v>Django Admin 필수 앱·Middleware·Template·Static·내부 URL과 Custom UserAdmin을 구성하고 합성 사용자 생성·조회·수정·비활성화·재활성화 기능을 구현한다.</x:v>
      </x:c>
      <x:c r="F23" s="75" t="str">
        <x:v>FR-039, NFR-011, NFR-019, CR-013~CR-014</x:v>
      </x:c>
      <x:c r="G23" s="75" t="str">
        <x:v>백엔드·데이터베이스</x:v>
      </x:c>
      <x:c r="H23" s="75" t="str">
        <x:v>최지용</x:v>
      </x:c>
      <x:c r="I23" s="75" t="str">
        <x:v>김은진</x:v>
      </x:c>
      <x:c r="J23" s="75" t="str">
        <x:v>T-017A</x:v>
      </x:c>
      <x:c r="K23" s="87" t="n">
        <x:v>46237</x:v>
      </x:c>
      <x:c r="L23" s="87" t="n">
        <x:v>46237</x:v>
      </x:c>
      <x:c r="M23" s="78" t="n">
        <x:v>1</x:v>
      </x:c>
      <x:c r="N23" s="75" t="str">
        <x:v>미착수</x:v>
      </x:c>
      <x:c r="O23" s="93" t="n">
        <x:f t="shared" si="0"/>
        <x:v>0</x:v>
      </x:c>
      <x:c r="P23" s="76"/>
      <x:c r="Q23" s="76" t="str">
        <x:v>비staff 접근이 차단되고 권한 있는 내부 관리자가 합성 사용자 계정을 관리하며 일반 관리자에게 물리 삭제와 is_superuser 변경이 노출되지 않음</x:v>
      </x:c>
      <x:c r="R23" s="76" t="str">
        <x:v>요구사항정의서 v2 · 화면설계서 INT-ADMIN-01</x:v>
      </x:c>
    </x:row>
    <x:row r="24" ht="44" customHeight="1">
      <x:c r="A24" s="75" t="str">
        <x:v>T-017C</x:v>
      </x:c>
      <x:c r="B24" s="75" t="str">
        <x:v>P0</x:v>
      </x:c>
      <x:c r="C24" s="75" t="str">
        <x:v>백엔드 기반</x:v>
      </x:c>
      <x:c r="D24" s="75" t="str">
        <x:v>계정 수명주기·감사</x:v>
      </x:c>
      <x:c r="E24" s="76" t="str">
        <x:v>계정 비활성화·재활성화 Service, 기존 Refresh Token 폐기, 보호 API 접근 차단과 계정 변경 감사 이력을 구현한다.</x:v>
      </x:c>
      <x:c r="F24" s="75" t="str">
        <x:v>FR-042, NFR-013, NFR-019~NFR-020, DR-016, CR-014</x:v>
      </x:c>
      <x:c r="G24" s="75" t="str">
        <x:v>백엔드·데이터베이스</x:v>
      </x:c>
      <x:c r="H24" s="75" t="str">
        <x:v>최지용</x:v>
      </x:c>
      <x:c r="I24" s="75" t="str">
        <x:v>김은진 · 윤승혁</x:v>
      </x:c>
      <x:c r="J24" s="75" t="str">
        <x:v>T-017A, T-017B</x:v>
      </x:c>
      <x:c r="K24" s="87" t="n">
        <x:v>46238</x:v>
      </x:c>
      <x:c r="L24" s="87" t="n">
        <x:v>46239</x:v>
      </x:c>
      <x:c r="M24" s="78" t="n">
        <x:v>1.5</x:v>
      </x:c>
      <x:c r="N24" s="75" t="str">
        <x:v>미착수</x:v>
      </x:c>
      <x:c r="O24" s="93" t="n">
        <x:f t="shared" si="0"/>
        <x:v>0</x:v>
      </x:c>
      <x:c r="P24" s="76"/>
      <x:c r="Q24" s="76" t="str">
        <x:v>비활성 사용자의 로그인·Refresh·보호 API가 차단되고 재활성 후 과거 Refresh Token을 재사용할 수 없으며 수행자·사유·전후값 감사 이력이 남음</x:v>
      </x:c>
      <x:c r="R24" s="76" t="str">
        <x:v>요구사항정의서 v2 · 계정 Lifecycle·감사 계약</x:v>
      </x:c>
    </x:row>
    <x:row r="25" ht="44" customHeight="1">
      <x:c r="A25" s="75" t="str">
        <x:v>T-018</x:v>
      </x:c>
      <x:c r="B25" s="75" t="str">
        <x:v>P0</x:v>
      </x:c>
      <x:c r="C25" s="75" t="str">
        <x:v>백엔드 기반</x:v>
      </x:c>
      <x:c r="D25" s="75" t="str">
        <x:v>제품·구독 관리</x:v>
      </x:c>
      <x:c r="E25" s="76" t="str">
        <x:v>구독 제품 조회·등록·수정 API와 제품 선택 기능을 구현한다.</x:v>
      </x:c>
      <x:c r="F25" s="75" t="str">
        <x:v>FR-002~FR-003, DR-003</x:v>
      </x:c>
      <x:c r="G25" s="75" t="str">
        <x:v>백엔드·데이터베이스</x:v>
      </x:c>
      <x:c r="H25" s="75" t="str">
        <x:v>최지용</x:v>
      </x:c>
      <x:c r="I25" s="75" t="str">
        <x:v>김은진</x:v>
      </x:c>
      <x:c r="J25" s="75" t="str">
        <x:v>T-005, T-016, T-017</x:v>
      </x:c>
      <x:c r="K25" s="87" t="n">
        <x:v>46234</x:v>
      </x:c>
      <x:c r="L25" s="87" t="n">
        <x:v>46237</x:v>
      </x:c>
      <x:c r="M25" s="78" t="n">
        <x:v>1.5</x:v>
      </x:c>
      <x:c r="N25" s="75" t="str">
        <x:v>미착수</x:v>
      </x:c>
      <x:c r="O25" s="93" t="n">
        <x:f t="shared" si="0"/>
        <x:v>0</x:v>
      </x:c>
      <x:c r="P25" s="76"/>
      <x:c r="Q25" s="76" t="str">
        <x:v>제품 모델·사용 시작일·관리 유형·최근 관리일이 저장·조회됨</x:v>
      </x:c>
      <x:c r="R25" s="76" t="str">
        <x:v>요구사항정의서 · 화면설계서 State Machine/데이터 계약</x:v>
      </x:c>
    </x:row>
    <x:row r="26" ht="44" customHeight="1">
      <x:c r="A26" s="75" t="str">
        <x:v>T-019</x:v>
      </x:c>
      <x:c r="B26" s="75" t="str">
        <x:v>P0</x:v>
      </x:c>
      <x:c r="C26" s="75" t="str">
        <x:v>백엔드 기반</x:v>
      </x:c>
      <x:c r="D26" s="75" t="str">
        <x:v>케어 관리</x:v>
      </x:c>
      <x:c r="E26" s="76" t="str">
        <x:v>필터·카트리지 교체와 살균·세척 등 케어 이력 등록·조회 기능을 구현한다.</x:v>
      </x:c>
      <x:c r="F26" s="75" t="str">
        <x:v>FR-016, FR-030, DR-004</x:v>
      </x:c>
      <x:c r="G26" s="75" t="str">
        <x:v>백엔드·데이터베이스</x:v>
      </x:c>
      <x:c r="H26" s="75" t="str">
        <x:v>최지용</x:v>
      </x:c>
      <x:c r="I26" s="75" t="str">
        <x:v>김은진</x:v>
      </x:c>
      <x:c r="J26" s="75" t="str">
        <x:v>T-018</x:v>
      </x:c>
      <x:c r="K26" s="87" t="n">
        <x:v>46239</x:v>
      </x:c>
      <x:c r="L26" s="87" t="n">
        <x:v>46240</x:v>
      </x:c>
      <x:c r="M26" s="78" t="n">
        <x:v>1.5</x:v>
      </x:c>
      <x:c r="N26" s="75" t="str">
        <x:v>미착수</x:v>
      </x:c>
      <x:c r="O26" s="93" t="n">
        <x:f t="shared" si="0"/>
        <x:v>0</x:v>
      </x:c>
      <x:c r="P26" s="76"/>
      <x:c r="Q26" s="76" t="str">
        <x:v>케어 이력이 구독·제품 기준으로 누적·조회됨</x:v>
      </x:c>
      <x:c r="R26" s="76" t="str">
        <x:v>요구사항정의서 · 화면설계서 State Machine/데이터 계약</x:v>
      </x:c>
    </x:row>
    <x:row r="27" ht="44" customHeight="1">
      <x:c r="A27" s="75" t="str">
        <x:v>T-020</x:v>
      </x:c>
      <x:c r="B27" s="75" t="str">
        <x:v>P0</x:v>
      </x:c>
      <x:c r="C27" s="75" t="str">
        <x:v>백엔드 기반</x:v>
      </x:c>
      <x:c r="D27" s="75" t="str">
        <x:v>케어 관리</x:v>
      </x:c>
      <x:c r="E27" s="76" t="str">
        <x:v>공식 관리 주기와 최근 케어 이력을 이용한 다음 케어 예정일 산정·갱신 로직을 구현한다.</x:v>
      </x:c>
      <x:c r="F27" s="75" t="str">
        <x:v>FR-004~FR-005, FR-031, CR-012</x:v>
      </x:c>
      <x:c r="G27" s="75" t="str">
        <x:v>백엔드·데이터베이스</x:v>
      </x:c>
      <x:c r="H27" s="75" t="str">
        <x:v>최지용</x:v>
      </x:c>
      <x:c r="I27" s="75" t="str">
        <x:v>김은진</x:v>
      </x:c>
      <x:c r="J27" s="75" t="str">
        <x:v>T-009, T-019</x:v>
      </x:c>
      <x:c r="K27" s="87" t="n">
        <x:v>46244</x:v>
      </x:c>
      <x:c r="L27" s="87" t="n">
        <x:v>46244</x:v>
      </x:c>
      <x:c r="M27" s="78" t="n">
        <x:v>1</x:v>
      </x:c>
      <x:c r="N27" s="75" t="str">
        <x:v>미착수</x:v>
      </x:c>
      <x:c r="O27" s="93" t="n">
        <x:f t="shared" si="0"/>
        <x:v>0</x:v>
      </x:c>
      <x:c r="P27" s="76"/>
      <x:c r="Q27" s="76" t="str">
        <x:v>근거 부재 시 확인 필요 처리와 일정 변경 이력이 동작함</x:v>
      </x:c>
      <x:c r="R27" s="76" t="str">
        <x:v>요구사항정의서 · 화면설계서 State Machine/데이터 계약</x:v>
      </x:c>
    </x:row>
    <x:row r="28" ht="44" customHeight="1">
      <x:c r="A28" s="75" t="str">
        <x:v>T-021</x:v>
      </x:c>
      <x:c r="B28" s="75" t="str">
        <x:v>P0</x:v>
      </x:c>
      <x:c r="C28" s="75" t="str">
        <x:v>백엔드 기반</x:v>
      </x:c>
      <x:c r="D28" s="75" t="str">
        <x:v>사전 문진</x:v>
      </x:c>
      <x:c r="E28" s="76" t="str">
        <x:v>START_CARE_PRECHECK 시 Inquiry 없이 QuestionnaireSession을 생성하고 CARE_PRECHECK 문진의 미응답·작성 중·제출 완료 상태를 관리한다. 증상 상담이 필요할 때 새 inquiry_id와 연결한다.</x:v>
      </x:c>
      <x:c r="F28" s="75" t="str">
        <x:v>FR-006~FR-007, DR-005</x:v>
      </x:c>
      <x:c r="G28" s="75" t="str">
        <x:v>백엔드·데이터베이스</x:v>
      </x:c>
      <x:c r="H28" s="75" t="str">
        <x:v>최지용</x:v>
      </x:c>
      <x:c r="I28" s="75" t="str">
        <x:v>김은진</x:v>
      </x:c>
      <x:c r="J28" s="75" t="str">
        <x:v>T-005, T-016, T-020</x:v>
      </x:c>
      <x:c r="K28" s="87" t="n">
        <x:v>46245</x:v>
      </x:c>
      <x:c r="L28" s="87" t="n">
        <x:v>46246</x:v>
      </x:c>
      <x:c r="M28" s="78" t="n">
        <x:v>1.5</x:v>
      </x:c>
      <x:c r="N28" s="75" t="str">
        <x:v>미착수</x:v>
      </x:c>
      <x:c r="O28" s="93" t="n">
        <x:f t="shared" si="0"/>
        <x:v>0</x:v>
      </x:c>
      <x:c r="P28" s="76"/>
      <x:c r="Q28" s="76" t="str">
        <x:v>문의 없는 사전 문진 생성·임시 저장·제출과 이후 inquiry_id 연결이 정상 동작함</x:v>
      </x:c>
      <x:c r="R28" s="76" t="str">
        <x:v>요구사항정의서 · 화면설계서 State Machine/데이터 계약</x:v>
      </x:c>
    </x:row>
    <x:row r="29" ht="44" customHeight="1">
      <x:c r="A29" s="75" t="str">
        <x:v>T-022</x:v>
      </x:c>
      <x:c r="B29" s="75" t="str">
        <x:v>P0</x:v>
      </x:c>
      <x:c r="C29" s="75" t="str">
        <x:v>백엔드 기반</x:v>
      </x:c>
      <x:c r="D29" s="75" t="str">
        <x:v>문의 관리</x:v>
      </x:c>
      <x:c r="E29" s="76" t="str">
        <x:v>START_INQUIRY로 Inquiry를 DRAFT 상태로 생성하고 자연어 증상·대표 증상·추가 답변·자가조치 결과를 동일 inquiry_id에 누적한다. SUBMIT_SYMPTOM 시 QUESTIONNAIRE_IN_PROGRESS로 전환한다.</x:v>
      </x:c>
      <x:c r="F29" s="75" t="str">
        <x:v>FR-008~FR-011, FR-020, DR-001, DR-006</x:v>
      </x:c>
      <x:c r="G29" s="75" t="str">
        <x:v>백엔드·데이터베이스</x:v>
      </x:c>
      <x:c r="H29" s="75" t="str">
        <x:v>최지용</x:v>
      </x:c>
      <x:c r="I29" s="75" t="str">
        <x:v>김은진</x:v>
      </x:c>
      <x:c r="J29" s="75" t="str">
        <x:v>T-005, T-016, T-017</x:v>
      </x:c>
      <x:c r="K29" s="87" t="n">
        <x:v>46231</x:v>
      </x:c>
      <x:c r="L29" s="87" t="n">
        <x:v>46232</x:v>
      </x:c>
      <x:c r="M29" s="78" t="n">
        <x:v>1.5</x:v>
      </x:c>
      <x:c r="N29" s="75" t="str">
        <x:v>미착수</x:v>
      </x:c>
      <x:c r="O29" s="93" t="n">
        <x:f t="shared" si="0"/>
        <x:v>0</x:v>
      </x:c>
      <x:c r="P29" s="76"/>
      <x:c r="Q29" s="76" t="str">
        <x:v>신규 문의 생성과 동일 inquiry_id 누적 저장이 동작하고 미지원 제품·필수값 누락·차단 모델은 PRODUCT_VALIDATION_FAILED로 AI·RAG 실행이 차단됨</x:v>
      </x:c>
      <x:c r="R29" s="76" t="str">
        <x:v>요구사항정의서 · 화면설계서 State Machine/데이터 계약</x:v>
      </x:c>
    </x:row>
    <x:row r="30" ht="44" customHeight="1">
      <x:c r="A30" s="75" t="str">
        <x:v>T-023</x:v>
      </x:c>
      <x:c r="B30" s="75" t="str">
        <x:v>P0</x:v>
      </x:c>
      <x:c r="C30" s="75" t="str">
        <x:v>백엔드 기반</x:v>
      </x:c>
      <x:c r="D30" s="75" t="str">
        <x:v>문의 관리</x:v>
      </x:c>
      <x:c r="E30" s="76" t="str">
        <x:v>백엔드 State Machine 이벤트 API를 구현한다. allowed_actions 반환, 역할·담당자 권한, state_version 동시 수정 방지, idempotency_key 중복 요청 방지, correlation_id 추적과 COMPLETION_PENDING·REOPENED·FINALIZE_INQUIRY 전이를 포함한다.</x:v>
      </x:c>
      <x:c r="F30" s="75" t="str">
        <x:v>FR-021, FR-025~FR-026, FR-032~FR-034, NFR-015, DR-012, DR-014~DR-015</x:v>
      </x:c>
      <x:c r="G30" s="75" t="str">
        <x:v>백엔드·데이터베이스</x:v>
      </x:c>
      <x:c r="H30" s="75" t="str">
        <x:v>최지용</x:v>
      </x:c>
      <x:c r="I30" s="75" t="str">
        <x:v>김은진</x:v>
      </x:c>
      <x:c r="J30" s="75" t="str">
        <x:v>T-002, T-005, T-016, T-022</x:v>
      </x:c>
      <x:c r="K30" s="87" t="n">
        <x:v>46233</x:v>
      </x:c>
      <x:c r="L30" s="87" t="n">
        <x:v>46234</x:v>
      </x:c>
      <x:c r="M30" s="78" t="n">
        <x:v>1.5</x:v>
      </x:c>
      <x:c r="N30" s="75" t="str">
        <x:v>미착수</x:v>
      </x:c>
      <x:c r="O30" s="93" t="n">
        <x:f t="shared" si="0"/>
        <x:v>0</x:v>
      </x:c>
      <x:c r="P30" s="76"/>
      <x:c r="Q30" s="76" t="str">
        <x:v>허용된 상태·역할·담당자·state_version에서만 전이가 수행되고 중복 요청·동시 수정이 차단되며 담당 주체·고객 행동·방문 일정·완료 주체 이력이 저장됨</x:v>
      </x:c>
      <x:c r="R30" s="76" t="str">
        <x:v>요구사항정의서 · 화면설계서 State Machine/데이터 계약</x:v>
      </x:c>
    </x:row>
    <x:row r="31" ht="44" customHeight="1">
      <x:c r="A31" s="75" t="str">
        <x:v>T-024</x:v>
      </x:c>
      <x:c r="B31" s="75" t="str">
        <x:v>P0</x:v>
      </x:c>
      <x:c r="C31" s="75" t="str">
        <x:v>백엔드 기반</x:v>
      </x:c>
      <x:c r="D31" s="75" t="str">
        <x:v>추적성 및 로그</x:v>
      </x:c>
      <x:c r="E31" s="76" t="str">
        <x:v>AI 호출, 검색 근거, 생성 결과, 모델 정보, 주요 사용자 행위와 오류 로그 저장을 구현한다.</x:v>
      </x:c>
      <x:c r="F31" s="75" t="str">
        <x:v>NFR-013, NFR-017, DR-009</x:v>
      </x:c>
      <x:c r="G31" s="75" t="str">
        <x:v>백엔드·데이터베이스</x:v>
      </x:c>
      <x:c r="H31" s="75" t="str">
        <x:v>최지용</x:v>
      </x:c>
      <x:c r="I31" s="75" t="str">
        <x:v>김은진</x:v>
      </x:c>
      <x:c r="J31" s="75" t="str">
        <x:v>T-016, T-023</x:v>
      </x:c>
      <x:c r="K31" s="87" t="n">
        <x:v>46247</x:v>
      </x:c>
      <x:c r="L31" s="87" t="n">
        <x:v>46248</x:v>
      </x:c>
      <x:c r="M31" s="78" t="n">
        <x:v>1</x:v>
      </x:c>
      <x:c r="N31" s="75" t="str">
        <x:v>미착수</x:v>
      </x:c>
      <x:c r="O31" s="93" t="n">
        <x:f t="shared" si="0"/>
        <x:v>0</x:v>
      </x:c>
      <x:c r="P31" s="76"/>
      <x:c r="Q31" s="76" t="str">
        <x:v>문의별 AI·RAG·상태 변경 이력을 재현할 수 있음</x:v>
      </x:c>
      <x:c r="R31" s="76" t="str">
        <x:v>요구사항정의서 · 화면설계서 State Machine/데이터 계약</x:v>
      </x:c>
    </x:row>
    <x:row r="32" ht="44" customHeight="1">
      <x:c r="A32" s="75" t="str">
        <x:v>T-025</x:v>
      </x:c>
      <x:c r="B32" s="75" t="str">
        <x:v>P0</x:v>
      </x:c>
      <x:c r="C32" s="75" t="str">
        <x:v>AI·RAG 구현</x:v>
      </x:c>
      <x:c r="D32" s="75" t="str">
        <x:v>다중 에이전트 개발</x:v>
      </x:c>
      <x:c r="E32" s="76" t="str">
        <x:v>단일 RAG 기준선과 선택형 책임 분리 구조를 동일 입력·출력 스키마로 비교한 뒤, 문의 상태와 역할에 따라 필요한 구조화·검색·안내·인계 모듈만 호출하는 오케스트레이터를 구현한다.</x:v>
      </x:c>
      <x:c r="F32" s="75" t="str">
        <x:v>FR-010~FR-019, FR-022, FR-027, NFR-005~NFR-006</x:v>
      </x:c>
      <x:c r="G32" s="75" t="str">
        <x:v>AI·RAG</x:v>
      </x:c>
      <x:c r="H32" s="75" t="str">
        <x:v>이동윤</x:v>
      </x:c>
      <x:c r="I32" s="75" t="str">
        <x:v>김은진 · 최지용</x:v>
      </x:c>
      <x:c r="J32" s="75" t="str">
        <x:v>T-006, T-015, T-023</x:v>
      </x:c>
      <x:c r="K32" s="87" t="n">
        <x:v>46233</x:v>
      </x:c>
      <x:c r="L32" s="87" t="n">
        <x:v>46234</x:v>
      </x:c>
      <x:c r="M32" s="78" t="n">
        <x:v>2</x:v>
      </x:c>
      <x:c r="N32" s="75" t="str">
        <x:v>미착수</x:v>
      </x:c>
      <x:c r="O32" s="93" t="n">
        <x:f t="shared" si="0"/>
        <x:v>0</x:v>
      </x:c>
      <x:c r="P32" s="76"/>
      <x:c r="Q32" s="76" t="str">
        <x:v>기준선과 제안안 비교 결과가 기록되고 최종 실행 구조에서 일반·위험·상담·방문 흐름이 조건별로 분기됨</x:v>
      </x:c>
      <x:c r="R32" s="76" t="str">
        <x:v>기획서 5장 · 화면설계서 AI/RAG·EvidenceCardDTO</x:v>
      </x:c>
    </x:row>
    <x:row r="33" ht="44" customHeight="1">
      <x:c r="A33" s="75" t="str">
        <x:v>T-026</x:v>
      </x:c>
      <x:c r="B33" s="75" t="str">
        <x:v>P0</x:v>
      </x:c>
      <x:c r="C33" s="75" t="str">
        <x:v>AI·RAG 구현</x:v>
      </x:c>
      <x:c r="D33" s="75" t="str">
        <x:v>다중 에이전트 개발</x:v>
      </x:c>
      <x:c r="E33" s="76" t="str">
        <x:v>누락 정보 추가 질문, 답변 중복 방지와 표준 증상 구조화를 수행하는 증상 확인·분류 Agent를 구현한다.</x:v>
      </x:c>
      <x:c r="F33" s="75" t="str">
        <x:v>FR-010~FR-012, NFR-014, DR-007, DR-015</x:v>
      </x:c>
      <x:c r="G33" s="75" t="str">
        <x:v>AI·RAG</x:v>
      </x:c>
      <x:c r="H33" s="75" t="str">
        <x:v>이동윤</x:v>
      </x:c>
      <x:c r="I33" s="75" t="str">
        <x:v>김은진 · 최지용</x:v>
      </x:c>
      <x:c r="J33" s="75" t="str">
        <x:v>T-006, T-025</x:v>
      </x:c>
      <x:c r="K33" s="87" t="n">
        <x:v>46240</x:v>
      </x:c>
      <x:c r="L33" s="87" t="n">
        <x:v>46241</x:v>
      </x:c>
      <x:c r="M33" s="78" t="n">
        <x:v>2</x:v>
      </x:c>
      <x:c r="N33" s="75" t="str">
        <x:v>미착수</x:v>
      </x:c>
      <x:c r="O33" s="93" t="n">
        <x:f t="shared" si="0"/>
        <x:v>0</x:v>
      </x:c>
      <x:c r="P33" s="76"/>
      <x:c r="Q33" s="76" t="str">
        <x:v>필수 항목 추출과 미확인 항목 질문이 JSON으로 반환됨</x:v>
      </x:c>
      <x:c r="R33" s="76" t="str">
        <x:v>기획서 5장 · 화면설계서 AI/RAG·EvidenceCardDTO</x:v>
      </x:c>
    </x:row>
    <x:row r="34" ht="44" customHeight="1">
      <x:c r="A34" s="75" t="str">
        <x:v>T-027</x:v>
      </x:c>
      <x:c r="B34" s="75" t="str">
        <x:v>P0</x:v>
      </x:c>
      <x:c r="C34" s="75" t="str">
        <x:v>AI·RAG 구현</x:v>
      </x:c>
      <x:c r="D34" s="75" t="str">
        <x:v>다중 에이전트 개발</x:v>
      </x:c>
      <x:c r="E34" s="76" t="str">
        <x:v>안전 규칙과 구조화 증상을 결합해 위험도·처리 우선순위와 현재 사용 안내 상태, 제한되는 출수·기능 범위를 분류하는 로직을 구현한다.</x:v>
      </x:c>
      <x:c r="F34" s="75" t="str">
        <x:v>FR-013~FR-014, FR-019, FR-038, NFR-001~NFR-002, NFR-004, DR-007, DR-015</x:v>
      </x:c>
      <x:c r="G34" s="75" t="str">
        <x:v>AI·RAG</x:v>
      </x:c>
      <x:c r="H34" s="75" t="str">
        <x:v>이동윤</x:v>
      </x:c>
      <x:c r="I34" s="75" t="str">
        <x:v>김은진 · 최지용</x:v>
      </x:c>
      <x:c r="J34" s="75" t="str">
        <x:v>T-015, T-026</x:v>
      </x:c>
      <x:c r="K34" s="87" t="n">
        <x:v>46244</x:v>
      </x:c>
      <x:c r="L34" s="87" t="n">
        <x:v>46245</x:v>
      </x:c>
      <x:c r="M34" s="78" t="n">
        <x:v>1.5</x:v>
      </x:c>
      <x:c r="N34" s="75" t="str">
        <x:v>미착수</x:v>
      </x:c>
      <x:c r="O34" s="93" t="n">
        <x:f t="shared" si="0"/>
        <x:v>0</x:v>
      </x:c>
      <x:c r="P34" s="76"/>
      <x:c r="Q34" s="76" t="str">
        <x:v>일반·주의·위험 분류와 4개 사용 안내 상태가 규칙에 따라 일관되게 반환됨</x:v>
      </x:c>
      <x:c r="R34" s="76" t="str">
        <x:v>기획서 5장 · 화면설계서 AI/RAG·EvidenceCardDTO</x:v>
      </x:c>
    </x:row>
    <x:row r="35" ht="44" customHeight="1">
      <x:c r="A35" s="75" t="str">
        <x:v>T-028A</x:v>
      </x:c>
      <x:c r="B35" s="75" t="str">
        <x:v>P0</x:v>
      </x:c>
      <x:c r="C35" s="75" t="str">
        <x:v>AI·RAG 구현</x:v>
      </x:c>
      <x:c r="D35" s="75" t="str">
        <x:v>AI·RAG 개발</x:v>
      </x:c>
      <x:c r="E35" s="76" t="str">
        <x:v>제품 모델·증상·구독·케어 이력을 조회하고 모델·세대 메타데이터 필터를 적용하여 공식 문서 근거와 고객별 관리 이력을 반환하는 지식·이력 조회 모듈을 구현한다.</x:v>
      </x:c>
      <x:c r="F35" s="75" t="str">
        <x:v>FR-015~FR-016, DR-004, DR-008~DR-009</x:v>
      </x:c>
      <x:c r="G35" s="75" t="str">
        <x:v>AI·RAG</x:v>
      </x:c>
      <x:c r="H35" s="75" t="str">
        <x:v>이동윤</x:v>
      </x:c>
      <x:c r="I35" s="75" t="str">
        <x:v>김은진 · 최지용</x:v>
      </x:c>
      <x:c r="J35" s="75" t="str">
        <x:v>T-011, T-019, T-026</x:v>
      </x:c>
      <x:c r="K35" s="87" t="n">
        <x:v>46246</x:v>
      </x:c>
      <x:c r="L35" s="87" t="n">
        <x:v>46247</x:v>
      </x:c>
      <x:c r="M35" s="78" t="n">
        <x:v>1.5</x:v>
      </x:c>
      <x:c r="N35" s="75" t="str">
        <x:v>미착수</x:v>
      </x:c>
      <x:c r="O35" s="93" t="n">
        <x:f t="shared" si="0"/>
        <x:v>0</x:v>
      </x:c>
      <x:c r="P35" s="76"/>
      <x:c r="Q35" s="76" t="str">
        <x:v>WPUJAC104DWH와 WPU-JAC104D D세대에 일치하는 검증 근거·페이지·관리 이력이 하나의 구조화 출력으로 반환되고 미검증 FAQ 단독 사용이 차단됨</x:v>
      </x:c>
      <x:c r="R35" s="76" t="str">
        <x:v>기획서 5장 · 화면설계서 AI/RAG·EvidenceCardDTO</x:v>
      </x:c>
    </x:row>
    <x:row r="36" ht="44" customHeight="1">
      <x:c r="A36" s="75" t="str">
        <x:v>T-028B</x:v>
      </x:c>
      <x:c r="B36" s="75" t="str">
        <x:v>P0</x:v>
      </x:c>
      <x:c r="C36" s="75" t="str">
        <x:v>AI·RAG 구현</x:v>
      </x:c>
      <x:c r="D36" s="75" t="str">
        <x:v>공식 근거 응답 조립</x:v>
      </x:c>
      <x:c r="E36" s="76" t="str">
        <x:v>RAG 검색 결과, jac104_evidence_registry.jsonl, 문서 메타데이터와 model_document_lineage.csv를 결합하여 EvidenceCardDTO를 생성하는 백엔드 조립 로직을 구현한다. source_path·ManualPage.text·retrieval_text는 화면 응답에서 제외한다.</x:v>
      </x:c>
      <x:c r="F36" s="75" t="str">
        <x:v>FR-015~FR-019, NFR-001~NFR-002, DR-008~DR-009</x:v>
      </x:c>
      <x:c r="G36" s="75" t="str">
        <x:v>백엔드·데이터베이스</x:v>
      </x:c>
      <x:c r="H36" s="75" t="str">
        <x:v>최지용</x:v>
      </x:c>
      <x:c r="I36" s="75" t="str">
        <x:v>이동윤 · 김은진</x:v>
      </x:c>
      <x:c r="J36" s="75" t="str">
        <x:v>T-005, T-011, T-028A</x:v>
      </x:c>
      <x:c r="K36" s="87" t="n">
        <x:v>46247</x:v>
      </x:c>
      <x:c r="L36" s="87" t="n">
        <x:v>46248</x:v>
      </x:c>
      <x:c r="M36" s="78" t="n">
        <x:v>1</x:v>
      </x:c>
      <x:c r="N36" s="75" t="str">
        <x:v>미착수</x:v>
      </x:c>
      <x:c r="O36" s="93" t="n">
        <x:f t="shared" si="0"/>
        <x:v>0</x:v>
      </x:c>
      <x:c r="P36" s="76"/>
      <x:c r="Q36" s="76" t="str">
        <x:v>검증된 모델·세대·페이지·사용 정책을 만족한 근거만 고객·상담사·기사 화면에 전달되고, 고객 화면의 chunk_id와 내부 경로·원문 전체가 숨겨짐</x:v>
      </x:c>
      <x:c r="R36" s="76" t="str">
        <x:v>기획서 5장 · 화면설계서 AI/RAG·EvidenceCardDTO</x:v>
      </x:c>
    </x:row>
    <x:row r="37" ht="44" customHeight="1">
      <x:c r="A37" s="75" t="str">
        <x:v>T-029</x:v>
      </x:c>
      <x:c r="B37" s="75" t="str">
        <x:v>P0</x:v>
      </x:c>
      <x:c r="C37" s="75" t="str">
        <x:v>AI·RAG 구현</x:v>
      </x:c>
      <x:c r="D37" s="75" t="str">
        <x:v>다중 에이전트 개발</x:v>
      </x:c>
      <x:c r="E37" s="76" t="str">
        <x:v>증상·이력·근거를 종합하여 점검 후보와 자가조치에 앞서 현재 사용 안내 상태, 제한 범위, 판단 근거와 고객의 다음 행동을 생성하는 대응 분석 Agent를 구현한다.</x:v>
      </x:c>
      <x:c r="F37" s="75" t="str">
        <x:v>FR-017~FR-019, FR-038, NFR-001~NFR-003</x:v>
      </x:c>
      <x:c r="G37" s="75" t="str">
        <x:v>AI·RAG</x:v>
      </x:c>
      <x:c r="H37" s="75" t="str">
        <x:v>이동윤</x:v>
      </x:c>
      <x:c r="I37" s="75" t="str">
        <x:v>김은진 · 최지용</x:v>
      </x:c>
      <x:c r="J37" s="75" t="str">
        <x:v>T-027, T-028A, T-028B</x:v>
      </x:c>
      <x:c r="K37" s="87" t="n">
        <x:v>46248</x:v>
      </x:c>
      <x:c r="L37" s="87" t="n">
        <x:v>46251</x:v>
      </x:c>
      <x:c r="M37" s="78" t="n">
        <x:v>2</x:v>
      </x:c>
      <x:c r="N37" s="75" t="str">
        <x:v>미착수</x:v>
      </x:c>
      <x:c r="O37" s="93" t="n">
        <x:f t="shared" ref="O37:O68" si="1">IF(N37="완료",1,IF(N37="진행 중",0.5,IF(N37="보류",0.25,0)))</x:f>
        <x:v>0</x:v>
      </x:c>
      <x:c r="P37" s="76"/>
      <x:c r="Q37" s="76" t="str">
        <x:v>확정 진단 없이 근거가 있는 사용 안내 상태와 안전한 다음 행동이 생성됨</x:v>
      </x:c>
      <x:c r="R37" s="76" t="str">
        <x:v>기획서 5장 · 화면설계서 AI/RAG·EvidenceCardDTO</x:v>
      </x:c>
    </x:row>
    <x:row r="38" ht="44" customHeight="1">
      <x:c r="A38" s="75" t="str">
        <x:v>T-030A</x:v>
      </x:c>
      <x:c r="B38" s="75" t="str">
        <x:v>P0</x:v>
      </x:c>
      <x:c r="C38" s="75" t="str">
        <x:v>AI·RAG 구현</x:v>
      </x:c>
      <x:c r="D38" s="75" t="str">
        <x:v>역할별 결과 생성</x:v>
      </x:c>
      <x:c r="E38" s="76" t="str">
        <x:v>제품·문진·고객 원문·추가 답변·조치 결과·공식 근거·상태 이력을 이용하여 고정 스키마의 상담용 AI 요약 초안을 생성하고 상담사 수정·확정본을 별도로 저장한다.</x:v>
      </x:c>
      <x:c r="F38" s="75" t="str">
        <x:v>FR-022~FR-024, NFR-001~NFR-006, DR-010</x:v>
      </x:c>
      <x:c r="G38" s="75" t="str">
        <x:v>AI·RAG</x:v>
      </x:c>
      <x:c r="H38" s="75" t="str">
        <x:v>이동윤</x:v>
      </x:c>
      <x:c r="I38" s="75" t="str">
        <x:v>김은진 · 윤승혁</x:v>
      </x:c>
      <x:c r="J38" s="75" t="str">
        <x:v>T-023, T-029</x:v>
      </x:c>
      <x:c r="K38" s="87" t="n">
        <x:v>46252</x:v>
      </x:c>
      <x:c r="L38" s="87" t="n">
        <x:v>46252</x:v>
      </x:c>
      <x:c r="M38" s="78" t="n">
        <x:v>1</x:v>
      </x:c>
      <x:c r="N38" s="75" t="str">
        <x:v>미착수</x:v>
      </x:c>
      <x:c r="O38" s="93" t="n">
        <x:f t="shared" si="1"/>
        <x:v>0</x:v>
      </x:c>
      <x:c r="P38" s="76"/>
      <x:c r="Q38" s="76" t="str">
        <x:v>상담 요약 필수 필드가 충족되고 AI 초안과 상담사 수정·확정본이 구분되어 저장됨</x:v>
      </x:c>
      <x:c r="R38" s="76" t="str">
        <x:v>기획서 5장 · 화면설계서 AI/RAG·EvidenceCardDTO</x:v>
      </x:c>
    </x:row>
    <x:row r="39" ht="44" customHeight="1">
      <x:c r="A39" s="75" t="str">
        <x:v>T-030B</x:v>
      </x:c>
      <x:c r="B39" s="75" t="str">
        <x:v>P0</x:v>
      </x:c>
      <x:c r="C39" s="75" t="str">
        <x:v>AI·RAG 구현</x:v>
      </x:c>
      <x:c r="D39" s="75" t="str">
        <x:v>역할별 결과 생성</x:v>
      </x:c>
      <x:c r="E39" s="76" t="str">
        <x:v>상담사 확정 요약, 제품·관리 이력, 위험도와 공식 근거를 이용하여 방문기사용 사전 점검 리포트 초안을 생성하고 기사 수정·확정본을 별도로 저장한다.</x:v>
      </x:c>
      <x:c r="F39" s="75" t="str">
        <x:v>FR-027~FR-029, NFR-001~NFR-006, DR-011</x:v>
      </x:c>
      <x:c r="G39" s="75" t="str">
        <x:v>AI·RAG</x:v>
      </x:c>
      <x:c r="H39" s="75" t="str">
        <x:v>이동윤</x:v>
      </x:c>
      <x:c r="I39" s="75" t="str">
        <x:v>김은진 · 윤승혁</x:v>
      </x:c>
      <x:c r="J39" s="75" t="str">
        <x:v>T-019, T-030A</x:v>
      </x:c>
      <x:c r="K39" s="87" t="n">
        <x:v>46253</x:v>
      </x:c>
      <x:c r="L39" s="87" t="n">
        <x:v>46253</x:v>
      </x:c>
      <x:c r="M39" s="78" t="n">
        <x:v>1</x:v>
      </x:c>
      <x:c r="N39" s="75" t="str">
        <x:v>미착수</x:v>
      </x:c>
      <x:c r="O39" s="93" t="n">
        <x:f t="shared" si="1"/>
        <x:v>0</x:v>
      </x:c>
      <x:c r="P39" s="76"/>
      <x:c r="Q39" s="76" t="str">
        <x:v>상담사 확정 내용과 관리 이력이 기사 리포트에 반영되고 AI 초안과 기사 확정본이 구분됨</x:v>
      </x:c>
      <x:c r="R39" s="76" t="str">
        <x:v>기획서 5장 · 화면설계서 AI/RAG·EvidenceCardDTO</x:v>
      </x:c>
    </x:row>
    <x:row r="40" ht="44" customHeight="1">
      <x:c r="A40" s="75" t="str">
        <x:v>T-030C</x:v>
      </x:c>
      <x:c r="B40" s="75" t="str">
        <x:v>P0</x:v>
      </x:c>
      <x:c r="C40" s="75" t="str">
        <x:v>AI·RAG 구현</x:v>
      </x:c>
      <x:c r="D40" s="75" t="str">
        <x:v>역할별 결과 검증</x:v>
      </x:c>
      <x:c r="E40" s="76" t="str">
        <x:v>고객 안내·상담 요약·기사 리포트의 핵심 사실, 위험도, 현재 사용 안내, 공식 근거와 금지 행동이 서로 모순되지 않는지 검증한다.</x:v>
      </x:c>
      <x:c r="F40" s="75" t="str">
        <x:v>NFR-001~NFR-006, DR-009~DR-011</x:v>
      </x:c>
      <x:c r="G40" s="75" t="str">
        <x:v>AI·RAG</x:v>
      </x:c>
      <x:c r="H40" s="75" t="str">
        <x:v>이동윤</x:v>
      </x:c>
      <x:c r="I40" s="75" t="str">
        <x:v>김은진 · 윤승혁</x:v>
      </x:c>
      <x:c r="J40" s="75" t="str">
        <x:v>T-015, T-030A, T-030B</x:v>
      </x:c>
      <x:c r="K40" s="87" t="n">
        <x:v>46254</x:v>
      </x:c>
      <x:c r="L40" s="87" t="n">
        <x:v>46254</x:v>
      </x:c>
      <x:c r="M40" s="78" t="n">
        <x:v>0.5</x:v>
      </x:c>
      <x:c r="N40" s="75" t="str">
        <x:v>미착수</x:v>
      </x:c>
      <x:c r="O40" s="93" t="n">
        <x:f t="shared" si="1"/>
        <x:v>0</x:v>
      </x:c>
      <x:c r="P40" s="76"/>
      <x:c r="Q40" s="76" t="str">
        <x:v>역할별 결과는 표현만 다르고 제품·증상·위험도·근거·다음 행동의 핵심 사실이 일치함</x:v>
      </x:c>
      <x:c r="R40" s="76" t="str">
        <x:v>기획서 5장 · 화면설계서 AI/RAG·EvidenceCardDTO</x:v>
      </x:c>
    </x:row>
    <x:row r="41" ht="44" customHeight="1">
      <x:c r="A41" s="75" t="str">
        <x:v>T-031</x:v>
      </x:c>
      <x:c r="B41" s="75" t="str">
        <x:v>P0</x:v>
      </x:c>
      <x:c r="C41" s="75" t="str">
        <x:v>AI·RAG 구현</x:v>
      </x:c>
      <x:c r="D41" s="75" t="str">
        <x:v>AI 안전성</x:v>
      </x:c>
      <x:c r="E41" s="76" t="str">
        <x:v>공식 근거 미검색, 모델·세대 불일치 또는 검증 실패 시 임의 사용 가능 판정과 자가조치를 차단하고 usage_guidance_status를 판단 보류·상담 필요로 설정한다.</x:v>
      </x:c>
      <x:c r="F41" s="75" t="str">
        <x:v>FR-038, NFR-002, NFR-009</x:v>
      </x:c>
      <x:c r="G41" s="75" t="str">
        <x:v>AI·RAG</x:v>
      </x:c>
      <x:c r="H41" s="75" t="str">
        <x:v>이동윤</x:v>
      </x:c>
      <x:c r="I41" s="75" t="str">
        <x:v>김은진 · 최지용</x:v>
      </x:c>
      <x:c r="J41" s="75" t="str">
        <x:v>T-015, T-028A</x:v>
      </x:c>
      <x:c r="K41" s="87" t="n">
        <x:v>46254</x:v>
      </x:c>
      <x:c r="L41" s="87" t="n">
        <x:v>46254</x:v>
      </x:c>
      <x:c r="M41" s="78" t="n">
        <x:v>1</x:v>
      </x:c>
      <x:c r="N41" s="75" t="str">
        <x:v>미착수</x:v>
      </x:c>
      <x:c r="O41" s="93" t="n">
        <x:f t="shared" si="1"/>
        <x:v>0</x:v>
      </x:c>
      <x:c r="P41" s="76"/>
      <x:c r="Q41" s="76" t="str">
        <x:v>근거 부재 시 사용 가능 판정이나 임의 조치 없이 판단 보류와 상담 안내가 출력됨</x:v>
      </x:c>
      <x:c r="R41" s="76" t="str">
        <x:v>기획서 5장 · 화면설계서 AI/RAG·EvidenceCardDTO</x:v>
      </x:c>
    </x:row>
    <x:row r="42" ht="44" customHeight="1">
      <x:c r="A42" s="75" t="str">
        <x:v>T-032</x:v>
      </x:c>
      <x:c r="B42" s="75" t="str">
        <x:v>P0</x:v>
      </x:c>
      <x:c r="C42" s="75" t="str">
        <x:v>AI·RAG 구현</x:v>
      </x:c>
      <x:c r="D42" s="75" t="str">
        <x:v>AI 안정성</x:v>
      </x:c>
      <x:c r="E42" s="76" t="str">
        <x:v>AI·검색 타임아웃, 재시도, 오류 기록과 사용자 재시도·상담 전환 안내를 구현한다.</x:v>
      </x:c>
      <x:c r="F42" s="75" t="str">
        <x:v>NFR-007, NFR-009</x:v>
      </x:c>
      <x:c r="G42" s="75" t="str">
        <x:v>AI·RAG</x:v>
      </x:c>
      <x:c r="H42" s="75" t="str">
        <x:v>이동윤</x:v>
      </x:c>
      <x:c r="I42" s="75" t="str">
        <x:v>김은진 · 최지용</x:v>
      </x:c>
      <x:c r="J42" s="75" t="str">
        <x:v>T-016, T-025</x:v>
      </x:c>
      <x:c r="K42" s="87" t="n">
        <x:v>46238</x:v>
      </x:c>
      <x:c r="L42" s="87" t="n">
        <x:v>46239</x:v>
      </x:c>
      <x:c r="M42" s="78" t="n">
        <x:v>1.5</x:v>
      </x:c>
      <x:c r="N42" s="75" t="str">
        <x:v>미착수</x:v>
      </x:c>
      <x:c r="O42" s="93" t="n">
        <x:f t="shared" si="1"/>
        <x:v>0</x:v>
      </x:c>
      <x:c r="P42" s="76"/>
      <x:c r="Q42" s="76" t="str">
        <x:v>실패 시 무응답 없이 오류 안내와 대체 흐름이 동작함</x:v>
      </x:c>
      <x:c r="R42" s="76" t="str">
        <x:v>기획서 5장 · 화면설계서 AI/RAG·EvidenceCardDTO</x:v>
      </x:c>
    </x:row>
    <x:row r="43" ht="44" customHeight="1">
      <x:c r="A43" s="75" t="str">
        <x:v>T-033</x:v>
      </x:c>
      <x:c r="B43" s="75" t="str">
        <x:v>P0</x:v>
      </x:c>
      <x:c r="C43" s="75" t="str">
        <x:v>역할별 화면</x:v>
      </x:c>
      <x:c r="D43" s="75" t="str">
        <x:v>고객 화면 개발</x:v>
      </x:c>
      <x:c r="E43" s="76" t="str">
        <x:v>구독 제품 정보, 관리 유형, 최근 케어 이력과 다음 케어 일정을 조회하고, 관리 예정일 도래 시 웹 알림을 표시하는 고객 화면을 구현한다.</x:v>
      </x:c>
      <x:c r="F43" s="75" t="str">
        <x:v>FR-002~FR-005, FR-016</x:v>
      </x:c>
      <x:c r="G43" s="75" t="str">
        <x:v>모바일 앱 개발</x:v>
      </x:c>
      <x:c r="H43" s="75" t="str">
        <x:v>양정현</x:v>
      </x:c>
      <x:c r="I43" s="75" t="str">
        <x:v>최지용 · 윤승혁</x:v>
      </x:c>
      <x:c r="J43" s="75" t="str">
        <x:v>T-018, T-020, T-045</x:v>
      </x:c>
      <x:c r="K43" s="87" t="n">
        <x:v>46245</x:v>
      </x:c>
      <x:c r="L43" s="87" t="n">
        <x:v>46246</x:v>
      </x:c>
      <x:c r="M43" s="78" t="n">
        <x:v>1.5</x:v>
      </x:c>
      <x:c r="N43" s="75" t="str">
        <x:v>미착수</x:v>
      </x:c>
      <x:c r="O43" s="93" t="n">
        <x:f t="shared" si="1"/>
        <x:v>0</x:v>
      </x:c>
      <x:c r="P43" s="76"/>
      <x:c r="Q43" s="76" t="str">
        <x:v>고객이 문의 대상 제품과 케어 상태를 한 화면에서 확인함</x:v>
      </x:c>
      <x:c r="R43" s="76" t="str">
        <x:v>화면설계서 고객·상담사·방문기사 화면</x:v>
      </x:c>
    </x:row>
    <x:row r="44" ht="44" customHeight="1">
      <x:c r="A44" s="75" t="str">
        <x:v>T-034</x:v>
      </x:c>
      <x:c r="B44" s="75" t="str">
        <x:v>P0</x:v>
      </x:c>
      <x:c r="C44" s="75" t="str">
        <x:v>역할별 화면</x:v>
      </x:c>
      <x:c r="D44" s="75" t="str">
        <x:v>고객 화면 개발</x:v>
      </x:c>
      <x:c r="E44" s="76" t="str">
        <x:v>사전 문진 응답과 자연어 증상·대표 증상 입력 화면을 구현한다.</x:v>
      </x:c>
      <x:c r="F44" s="75" t="str">
        <x:v>FR-006~FR-009</x:v>
      </x:c>
      <x:c r="G44" s="75" t="str">
        <x:v>모바일 앱 개발</x:v>
      </x:c>
      <x:c r="H44" s="75" t="str">
        <x:v>양정현</x:v>
      </x:c>
      <x:c r="I44" s="75" t="str">
        <x:v>최지용 · 윤승혁</x:v>
      </x:c>
      <x:c r="J44" s="75" t="str">
        <x:v>T-021, T-022, T-045</x:v>
      </x:c>
      <x:c r="K44" s="87" t="n">
        <x:v>46247</x:v>
      </x:c>
      <x:c r="L44" s="87" t="n">
        <x:v>46248</x:v>
      </x:c>
      <x:c r="M44" s="78" t="n">
        <x:v>2</x:v>
      </x:c>
      <x:c r="N44" s="75" t="str">
        <x:v>미착수</x:v>
      </x:c>
      <x:c r="O44" s="93" t="n">
        <x:f t="shared" si="1"/>
        <x:v>0</x:v>
      </x:c>
      <x:c r="P44" s="76"/>
      <x:c r="Q44" s="76" t="str">
        <x:v>문진 제출과 신규 문의 접수가 정상 저장됨</x:v>
      </x:c>
      <x:c r="R44" s="76" t="str">
        <x:v>화면설계서 고객·상담사·방문기사 화면</x:v>
      </x:c>
    </x:row>
    <x:row r="45" ht="44" customHeight="1">
      <x:c r="A45" s="75" t="str">
        <x:v>T-035</x:v>
      </x:c>
      <x:c r="B45" s="75" t="str">
        <x:v>P0</x:v>
      </x:c>
      <x:c r="C45" s="75" t="str">
        <x:v>역할별 화면</x:v>
      </x:c>
      <x:c r="D45" s="75" t="str">
        <x:v>고객 화면 개발</x:v>
      </x:c>
      <x:c r="E45" s="76" t="str">
        <x:v>AI 추가 질문, 고객 답변 입력, 구조화된 확인 정보와 위험도 안내 화면을 구현한다.</x:v>
      </x:c>
      <x:c r="F45" s="75" t="str">
        <x:v>FR-010~FR-014</x:v>
      </x:c>
      <x:c r="G45" s="75" t="str">
        <x:v>모바일 앱 개발</x:v>
      </x:c>
      <x:c r="H45" s="75" t="str">
        <x:v>양정현</x:v>
      </x:c>
      <x:c r="I45" s="75" t="str">
        <x:v>최지용 · 윤승혁</x:v>
      </x:c>
      <x:c r="J45" s="75" t="str">
        <x:v>T-026, T-034</x:v>
      </x:c>
      <x:c r="K45" s="87" t="n">
        <x:v>46251</x:v>
      </x:c>
      <x:c r="L45" s="87" t="n">
        <x:v>46252</x:v>
      </x:c>
      <x:c r="M45" s="78" t="n">
        <x:v>2</x:v>
      </x:c>
      <x:c r="N45" s="75" t="str">
        <x:v>미착수</x:v>
      </x:c>
      <x:c r="O45" s="93" t="n">
        <x:f t="shared" si="1"/>
        <x:v>0</x:v>
      </x:c>
      <x:c r="P45" s="76"/>
      <x:c r="Q45" s="76" t="str">
        <x:v>이미 답한 항목은 반복되지 않고 다음 질문이 표시됨</x:v>
      </x:c>
      <x:c r="R45" s="76" t="str">
        <x:v>화면설계서 고객·상담사·방문기사 화면</x:v>
      </x:c>
    </x:row>
    <x:row r="46" ht="44" customHeight="1">
      <x:c r="A46" s="75" t="str">
        <x:v>T-036</x:v>
      </x:c>
      <x:c r="B46" s="75" t="str">
        <x:v>P0</x:v>
      </x:c>
      <x:c r="C46" s="75" t="str">
        <x:v>역할별 화면</x:v>
      </x:c>
      <x:c r="D46" s="75" t="str">
        <x:v>고객 화면 개발</x:v>
      </x:c>
      <x:c r="E46" s="76" t="str">
        <x:v>고객 화면 상단에 현재 사용 안내 상태, 제한되는 출수·기능, 판단 근거와 다음 행동을 우선 표시하고, 그 아래에 점검 후보·안전한 자가조치·수행 결과 입력과 상담 요청 기능을 제공한다.</x:v>
      </x:c>
      <x:c r="F46" s="75" t="str">
        <x:v>FR-017~FR-021, FR-038, NFR-001~NFR-004</x:v>
      </x:c>
      <x:c r="G46" s="75" t="str">
        <x:v>모바일 앱 개발</x:v>
      </x:c>
      <x:c r="H46" s="75" t="str">
        <x:v>양정현</x:v>
      </x:c>
      <x:c r="I46" s="75" t="str">
        <x:v>최지용 · 윤승혁</x:v>
      </x:c>
      <x:c r="J46" s="75" t="str">
        <x:v>T-027, T-029, T-035</x:v>
      </x:c>
      <x:c r="K46" s="87" t="n">
        <x:v>46253</x:v>
      </x:c>
      <x:c r="L46" s="87" t="n">
        <x:v>46254</x:v>
      </x:c>
      <x:c r="M46" s="78" t="n">
        <x:v>1.5</x:v>
      </x:c>
      <x:c r="N46" s="75" t="str">
        <x:v>미착수</x:v>
      </x:c>
      <x:c r="O46" s="93" t="n">
        <x:f t="shared" si="1"/>
        <x:v>0</x:v>
      </x:c>
      <x:c r="P46" s="76"/>
      <x:c r="Q46" s="76" t="str">
        <x:v>고객이 자가조치 전에 현재 사용 가능 범위와 필요한 다음 행동을 명확히 확인할 수 있음</x:v>
      </x:c>
      <x:c r="R46" s="76" t="str">
        <x:v>화면설계서 고객·상담사·방문기사 화면</x:v>
      </x:c>
    </x:row>
    <x:row r="47" ht="44" customHeight="1">
      <x:c r="A47" s="75" t="str">
        <x:v>T-037</x:v>
      </x:c>
      <x:c r="B47" s="75" t="str">
        <x:v>P0</x:v>
      </x:c>
      <x:c r="C47" s="75" t="str">
        <x:v>역할별 화면</x:v>
      </x:c>
      <x:c r="D47" s="75" t="str">
        <x:v>고객 화면 개발</x:v>
      </x:c>
      <x:c r="E47" s="76" t="str">
        <x:v>고객 문의 상세에서 현재 상태, 담당 주체, 다음 처리 단계, 고객 행동, 방문 희망·확정일과 일정 상태를 표시한다. 자가조치 단독 해결은 즉시 RESOLVED, 상담·방문 경로는 COMPLETION_PENDING에서 고객 피드백 후 담당 상담사·기사가 FINALIZE_INQUIRY하도록 연결한다.</x:v>
      </x:c>
      <x:c r="F47" s="75" t="str">
        <x:v>FR-026, FR-032~FR-034, NFR-015</x:v>
      </x:c>
      <x:c r="G47" s="75" t="str">
        <x:v>모바일 앱 개발</x:v>
      </x:c>
      <x:c r="H47" s="75" t="str">
        <x:v>양정현</x:v>
      </x:c>
      <x:c r="I47" s="75" t="str">
        <x:v>최지용 · 윤승혁</x:v>
      </x:c>
      <x:c r="J47" s="75" t="str">
        <x:v>T-023, T-045</x:v>
      </x:c>
      <x:c r="K47" s="87" t="n">
        <x:v>46246</x:v>
      </x:c>
      <x:c r="L47" s="87" t="n">
        <x:v>46247</x:v>
      </x:c>
      <x:c r="M47" s="78" t="n">
        <x:v>1</x:v>
      </x:c>
      <x:c r="N47" s="75" t="str">
        <x:v>미착수</x:v>
      </x:c>
      <x:c r="O47" s="93" t="n">
        <x:f t="shared" si="1"/>
        <x:v>0</x:v>
      </x:c>
      <x:c r="P47" s="76"/>
      <x:c r="Q47" s="76" t="str">
        <x:v>고객이 현재 처리 주체·일정·다음 행동을 확인하고, 자가 해결과 상담·방문 후속 해결의 서로 다른 완료 정책이 동작함</x:v>
      </x:c>
      <x:c r="R47" s="76" t="str">
        <x:v>화면설계서 고객·상담사·방문기사 화면</x:v>
      </x:c>
    </x:row>
    <x:row r="48" ht="44" customHeight="1">
      <x:c r="A48" s="75" t="str">
        <x:v>T-038</x:v>
      </x:c>
      <x:c r="B48" s="75" t="str">
        <x:v>P0</x:v>
      </x:c>
      <x:c r="C48" s="75" t="str">
        <x:v>역할별 화면</x:v>
      </x:c>
      <x:c r="D48" s="75" t="str">
        <x:v>상담사 화면 개발</x:v>
      </x:c>
      <x:c r="E48" s="76" t="str">
        <x:v>상담 대기 문의 목록, 위험도·우선순위 정렬과 검색 화면을 구현한다.</x:v>
      </x:c>
      <x:c r="F48" s="75" t="str">
        <x:v>FR-023, NFR-014</x:v>
      </x:c>
      <x:c r="G48" s="75" t="str">
        <x:v>웹 프론트엔드</x:v>
      </x:c>
      <x:c r="H48" s="75" t="str">
        <x:v>한예나</x:v>
      </x:c>
      <x:c r="I48" s="75" t="str">
        <x:v>최지용 · 윤승혁</x:v>
      </x:c>
      <x:c r="J48" s="75" t="str">
        <x:v>T-023, T-045</x:v>
      </x:c>
      <x:c r="K48" s="87" t="n">
        <x:v>46230</x:v>
      </x:c>
      <x:c r="L48" s="87" t="n">
        <x:v>46231</x:v>
      </x:c>
      <x:c r="M48" s="78" t="n">
        <x:v>1.5</x:v>
      </x:c>
      <x:c r="N48" s="75" t="str">
        <x:v>미착수</x:v>
      </x:c>
      <x:c r="O48" s="93" t="n">
        <x:f t="shared" si="1"/>
        <x:v>0</x:v>
      </x:c>
      <x:c r="P48" s="76"/>
      <x:c r="Q48" s="76" t="str">
        <x:v>우선 상담 건이 상단 노출되고 문의 선택이 가능함</x:v>
      </x:c>
      <x:c r="R48" s="76" t="str">
        <x:v>화면설계서 고객·상담사·방문기사 화면</x:v>
      </x:c>
    </x:row>
    <x:row r="49" ht="44" customHeight="1">
      <x:c r="A49" s="75" t="str">
        <x:v>T-039</x:v>
      </x:c>
      <x:c r="B49" s="75" t="str">
        <x:v>P0</x:v>
      </x:c>
      <x:c r="C49" s="75" t="str">
        <x:v>역할별 화면</x:v>
      </x:c>
      <x:c r="D49" s="75" t="str">
        <x:v>상담사 화면 개발</x:v>
      </x:c>
      <x:c r="E49" s="76" t="str">
        <x:v>제품·구독·문진·증상·조치·원문 답변·공식 근거·상태 이력을 통합 조회하는 상세 화면을 구현한다.</x:v>
      </x:c>
      <x:c r="F49" s="75" t="str">
        <x:v>FR-022~FR-023, NFR-001, NFR-014</x:v>
      </x:c>
      <x:c r="G49" s="75" t="str">
        <x:v>웹 프론트엔드</x:v>
      </x:c>
      <x:c r="H49" s="75" t="str">
        <x:v>한예나</x:v>
      </x:c>
      <x:c r="I49" s="75" t="str">
        <x:v>최지용 · 윤승혁</x:v>
      </x:c>
      <x:c r="J49" s="75" t="str">
        <x:v>T-030A, T-038</x:v>
      </x:c>
      <x:c r="K49" s="87" t="n">
        <x:v>46232</x:v>
      </x:c>
      <x:c r="L49" s="87" t="n">
        <x:v>46233</x:v>
      </x:c>
      <x:c r="M49" s="78" t="n">
        <x:v>2</x:v>
      </x:c>
      <x:c r="N49" s="75" t="str">
        <x:v>미착수</x:v>
      </x:c>
      <x:c r="O49" s="93" t="n">
        <x:f t="shared" si="1"/>
        <x:v>0</x:v>
      </x:c>
      <x:c r="P49" s="76"/>
      <x:c r="Q49" s="76" t="str">
        <x:v>고객이 제공한 정보와 상담 요약을 한 화면에서 확인함</x:v>
      </x:c>
      <x:c r="R49" s="76" t="str">
        <x:v>화면설계서 고객·상담사·방문기사 화면</x:v>
      </x:c>
    </x:row>
    <x:row r="50" ht="44" customHeight="1">
      <x:c r="A50" s="75" t="str">
        <x:v>T-040</x:v>
      </x:c>
      <x:c r="B50" s="75" t="str">
        <x:v>P0</x:v>
      </x:c>
      <x:c r="C50" s="75" t="str">
        <x:v>역할별 화면</x:v>
      </x:c>
      <x:c r="D50" s="75" t="str">
        <x:v>상담사 화면 개발</x:v>
      </x:c>
      <x:c r="E50" s="76" t="str">
        <x:v>추가 확인사항·안내 내용·상담 결과를 등록하고, CONSULTATION_COMPLETED 시 COMPLETION_PENDING, 방문 필요 시 VISIT_REVIEW_PENDING으로 전환한다. 상담 요약 AI 초안을 수정·확정한다.</x:v>
      </x:c>
      <x:c r="F50" s="75" t="str">
        <x:v>FR-024~FR-025, DR-001, DR-010</x:v>
      </x:c>
      <x:c r="G50" s="75" t="str">
        <x:v>웹 프론트엔드</x:v>
      </x:c>
      <x:c r="H50" s="75" t="str">
        <x:v>한예나</x:v>
      </x:c>
      <x:c r="I50" s="75" t="str">
        <x:v>최지용 · 윤승혁</x:v>
      </x:c>
      <x:c r="J50" s="75" t="str">
        <x:v>T-023, T-039</x:v>
      </x:c>
      <x:c r="K50" s="87" t="n">
        <x:v>46234</x:v>
      </x:c>
      <x:c r="L50" s="87" t="n">
        <x:v>46237</x:v>
      </x:c>
      <x:c r="M50" s="78" t="n">
        <x:v>1.5</x:v>
      </x:c>
      <x:c r="N50" s="75" t="str">
        <x:v>미착수</x:v>
      </x:c>
      <x:c r="O50" s="93" t="n">
        <x:f t="shared" si="1"/>
        <x:v>0</x:v>
      </x:c>
      <x:c r="P50" s="76"/>
      <x:c r="Q50" s="76" t="str">
        <x:v>상담 결과 저장과 방문 예정 상태 전환이 가능함</x:v>
      </x:c>
      <x:c r="R50" s="76" t="str">
        <x:v>화면설계서 고객·상담사·방문기사 화면</x:v>
      </x:c>
    </x:row>
    <x:row r="51" ht="44" customHeight="1">
      <x:c r="A51" s="75" t="str">
        <x:v>T-041</x:v>
      </x:c>
      <x:c r="B51" s="75" t="str">
        <x:v>P0</x:v>
      </x:c>
      <x:c r="C51" s="75" t="str">
        <x:v>역할별 화면</x:v>
      </x:c>
      <x:c r="D51" s="75" t="str">
        <x:v>상담사 화면 개발</x:v>
      </x:c>
      <x:c r="E51" s="76" t="str">
        <x:v>고객 방문 희망일, 가상 담당 기사, 방문 일정 상태와 가상 방문 확정일을 등록·변경하는 기능을 구현한다.</x:v>
      </x:c>
      <x:c r="F51" s="75" t="str">
        <x:v>FR-026, CR-005</x:v>
      </x:c>
      <x:c r="G51" s="75" t="str">
        <x:v>웹 프론트엔드</x:v>
      </x:c>
      <x:c r="H51" s="75" t="str">
        <x:v>한예나</x:v>
      </x:c>
      <x:c r="I51" s="75" t="str">
        <x:v>최지용 · 윤승혁</x:v>
      </x:c>
      <x:c r="J51" s="75" t="str">
        <x:v>T-023, T-040</x:v>
      </x:c>
      <x:c r="K51" s="87" t="n">
        <x:v>46238</x:v>
      </x:c>
      <x:c r="L51" s="87" t="n">
        <x:v>46238</x:v>
      </x:c>
      <x:c r="M51" s="78" t="n">
        <x:v>1</x:v>
      </x:c>
      <x:c r="N51" s="75" t="str">
        <x:v>미착수</x:v>
      </x:c>
      <x:c r="O51" s="93" t="n">
        <x:f t="shared" si="1"/>
        <x:v>0</x:v>
      </x:c>
      <x:c r="P51" s="76"/>
      <x:c r="Q51" s="76" t="str">
        <x:v>방문 희망일과 확정일이 구분되고 기사 배정 중, 일정 조율 중, 방문 확정 상태가 문의에 저장됨</x:v>
      </x:c>
      <x:c r="R51" s="76" t="str">
        <x:v>화면설계서 고객·상담사·방문기사 화면</x:v>
      </x:c>
    </x:row>
    <x:row r="52" ht="44" customHeight="1">
      <x:c r="A52" s="75" t="str">
        <x:v>T-042</x:v>
      </x:c>
      <x:c r="B52" s="75" t="str">
        <x:v>P0</x:v>
      </x:c>
      <x:c r="C52" s="75" t="str">
        <x:v>역할별 화면</x:v>
      </x:c>
      <x:c r="D52" s="75" t="str">
        <x:v>방문기사 화면 개발</x:v>
      </x:c>
      <x:c r="E52" s="76" t="str">
        <x:v>배정된 가상 방문 목록과 방문기사용 사전 점검 리포트·공식 근거 조회 화면을 구현한다.</x:v>
      </x:c>
      <x:c r="F52" s="75" t="str">
        <x:v>FR-027~FR-028, NFR-014</x:v>
      </x:c>
      <x:c r="G52" s="75" t="str">
        <x:v>모바일 앱 개발</x:v>
      </x:c>
      <x:c r="H52" s="75" t="str">
        <x:v>양정현</x:v>
      </x:c>
      <x:c r="I52" s="75" t="str">
        <x:v>최지용 · 이동윤</x:v>
      </x:c>
      <x:c r="J52" s="75" t="str">
        <x:v>T-030B, T-041, T-045</x:v>
      </x:c>
      <x:c r="K52" s="87" t="n">
        <x:v>46241</x:v>
      </x:c>
      <x:c r="L52" s="87" t="n">
        <x:v>46244</x:v>
      </x:c>
      <x:c r="M52" s="78" t="n">
        <x:v>1.5</x:v>
      </x:c>
      <x:c r="N52" s="75" t="str">
        <x:v>미착수</x:v>
      </x:c>
      <x:c r="O52" s="93" t="n">
        <x:f t="shared" si="1"/>
        <x:v>0</x:v>
      </x:c>
      <x:c r="P52" s="76"/>
      <x:c r="Q52" s="76" t="str">
        <x:v>기사가 고객 답변·상담 내용·우선 점검 항목을 확인함</x:v>
      </x:c>
      <x:c r="R52" s="76" t="str">
        <x:v>화면설계서 고객·상담사·방문기사 화면</x:v>
      </x:c>
    </x:row>
    <x:row r="53" ht="44" customHeight="1">
      <x:c r="A53" s="75" t="str">
        <x:v>T-043</x:v>
      </x:c>
      <x:c r="B53" s="75" t="str">
        <x:v>P0</x:v>
      </x:c>
      <x:c r="C53" s="75" t="str">
        <x:v>역할별 화면</x:v>
      </x:c>
      <x:c r="D53" s="75" t="str">
        <x:v>방문기사 화면 개발</x:v>
      </x:c>
      <x:c r="E53" s="76" t="str">
        <x:v>점검 결과·확인 원인·수행 조치·교체 항목·처리 상태를 등록하고 필수값을 검증한다. VISIT_COMPLETED 후 Inquiry를 COMPLETION_PENDING으로 전환하며 기사가 확정 리포트를 저장한다.</x:v>
      </x:c>
      <x:c r="F53" s="75" t="str">
        <x:v>FR-029, DR-001, DR-011, DR-014~DR-015</x:v>
      </x:c>
      <x:c r="G53" s="75" t="str">
        <x:v>모바일 앱 개발</x:v>
      </x:c>
      <x:c r="H53" s="75" t="str">
        <x:v>양정현</x:v>
      </x:c>
      <x:c r="I53" s="75" t="str">
        <x:v>최지용 · 이동윤</x:v>
      </x:c>
      <x:c r="J53" s="75" t="str">
        <x:v>T-023, T-042</x:v>
      </x:c>
      <x:c r="K53" s="87" t="n">
        <x:v>46248</x:v>
      </x:c>
      <x:c r="L53" s="87" t="n">
        <x:v>46251</x:v>
      </x:c>
      <x:c r="M53" s="78" t="n">
        <x:v>1.5</x:v>
      </x:c>
      <x:c r="N53" s="75" t="str">
        <x:v>미착수</x:v>
      </x:c>
      <x:c r="O53" s="93" t="n">
        <x:f t="shared" si="1"/>
        <x:v>0</x:v>
      </x:c>
      <x:c r="P53" s="76"/>
      <x:c r="Q53" s="76" t="str">
        <x:v>필수값 누락 시 완료가 차단되고 결과가 저장됨</x:v>
      </x:c>
      <x:c r="R53" s="76" t="str">
        <x:v>화면설계서 고객·상담사·방문기사 화면</x:v>
      </x:c>
    </x:row>
    <x:row r="54" ht="44" customHeight="1">
      <x:c r="A54" s="75" t="str">
        <x:v>T-044</x:v>
      </x:c>
      <x:c r="B54" s="75" t="str">
        <x:v>P0</x:v>
      </x:c>
      <x:c r="C54" s="75" t="str">
        <x:v>역할별 화면</x:v>
      </x:c>
      <x:c r="D54" s="75" t="str">
        <x:v>사후 관리</x:v>
      </x:c>
      <x:c r="E54" s="76" t="str">
        <x:v>방문 결과를 케어 이력에 반영하고 다음 케어 예정일을 갱신하는 연계 처리를 구현한다.</x:v>
      </x:c>
      <x:c r="F54" s="75" t="str">
        <x:v>FR-030~FR-031, NFR-010, DR-004, DR-011</x:v>
      </x:c>
      <x:c r="G54" s="75" t="str">
        <x:v>백엔드·데이터베이스</x:v>
      </x:c>
      <x:c r="H54" s="75" t="str">
        <x:v>최지용</x:v>
      </x:c>
      <x:c r="I54" s="75" t="str">
        <x:v>양정현 · 김은진</x:v>
      </x:c>
      <x:c r="J54" s="75" t="str">
        <x:v>T-019, T-043</x:v>
      </x:c>
      <x:c r="K54" s="87" t="n">
        <x:v>46252</x:v>
      </x:c>
      <x:c r="L54" s="87" t="n">
        <x:v>46252</x:v>
      </x:c>
      <x:c r="M54" s="78" t="n">
        <x:v>1</x:v>
      </x:c>
      <x:c r="N54" s="75" t="str">
        <x:v>미착수</x:v>
      </x:c>
      <x:c r="O54" s="93" t="n">
        <x:f t="shared" si="1"/>
        <x:v>0</x:v>
      </x:c>
      <x:c r="P54" s="76"/>
      <x:c r="Q54" s="76" t="str">
        <x:v>중복 저장 없이 케어 이력과 다음 일정이 갱신됨</x:v>
      </x:c>
      <x:c r="R54" s="76" t="str">
        <x:v>화면설계서 고객·상담사·방문기사 화면</x:v>
      </x:c>
    </x:row>
    <x:row r="55" ht="44" customHeight="1">
      <x:c r="A55" s="75" t="str">
        <x:v>T-045</x:v>
      </x:c>
      <x:c r="B55" s="75" t="str">
        <x:v>P0</x:v>
      </x:c>
      <x:c r="C55" s="75" t="str">
        <x:v>역할별 화면</x:v>
      </x:c>
      <x:c r="D55" s="75" t="str">
        <x:v>프론트엔드 공통</x:v>
      </x:c>
      <x:c r="E55" s="76" t="str">
        <x:v>공통 레이아웃·상태 배지·근거 표시·오류 안내 컴포넌트와 역할 기반 라우팅을 구현한다.</x:v>
      </x:c>
      <x:c r="F55" s="75" t="str">
        <x:v>FR-001, NFR-001, NFR-009, NFR-011, NFR-015</x:v>
      </x:c>
      <x:c r="G55" s="75" t="str">
        <x:v>웹 프론트엔드</x:v>
      </x:c>
      <x:c r="H55" s="75" t="str">
        <x:v>한예나</x:v>
      </x:c>
      <x:c r="I55" s="75" t="str">
        <x:v>양정현 · 윤승혁</x:v>
      </x:c>
      <x:c r="J55" s="75" t="str">
        <x:v>T-003, T-004</x:v>
      </x:c>
      <x:c r="K55" s="87" t="n">
        <x:v>46226</x:v>
      </x:c>
      <x:c r="L55" s="87" t="n">
        <x:v>46227</x:v>
      </x:c>
      <x:c r="M55" s="78" t="n">
        <x:v>1.5</x:v>
      </x:c>
      <x:c r="N55" s="75" t="str">
        <x:v>진행 중</x:v>
      </x:c>
      <x:c r="O55" s="93" t="n">
        <x:f t="shared" si="1"/>
        <x:v>0.5</x:v>
      </x:c>
      <x:c r="P55" s="76"/>
      <x:c r="Q55" s="76" t="str">
        <x:v>역할별 화면 이동과 공통 UI 표현이 일관되게 동작함</x:v>
      </x:c>
      <x:c r="R55" s="76" t="str">
        <x:v>화면설계서 고객·상담사·방문기사 화면</x:v>
      </x:c>
    </x:row>
    <x:row r="56" ht="44" customHeight="1">
      <x:c r="A56" s="75" t="str">
        <x:v>T-046</x:v>
      </x:c>
      <x:c r="B56" s="75" t="str">
        <x:v>P0</x:v>
      </x:c>
      <x:c r="C56" s="75" t="str">
        <x:v>통합·검증·배포</x:v>
      </x:c>
      <x:c r="D56" s="75" t="str">
        <x:v>통합 개발</x:v>
      </x:c>
      <x:c r="E56" s="76" t="str">
        <x:v>고객→상담사→방문기사 전 과정의 프론트엔드·백엔드·Agent·DB API를 연결한다.</x:v>
      </x:c>
      <x:c r="F56" s="75" t="str">
        <x:v>P0 기능 요구사항 전체</x:v>
      </x:c>
      <x:c r="G56" s="75" t="str">
        <x:v>백엔드·데이터베이스</x:v>
      </x:c>
      <x:c r="H56" s="75" t="str">
        <x:v>최지용</x:v>
      </x:c>
      <x:c r="I56" s="75" t="str">
        <x:v>양정현 · 한예나 · 윤승혁 · 이동윤 · 김은진</x:v>
      </x:c>
      <x:c r="J56" s="75" t="str">
        <x:v>T-025, T-033, T-038, T-042, T-044</x:v>
      </x:c>
      <x:c r="K56" s="87" t="n">
        <x:v>46255</x:v>
      </x:c>
      <x:c r="L56" s="87" t="n">
        <x:v>46258</x:v>
      </x:c>
      <x:c r="M56" s="78" t="n">
        <x:v>2</x:v>
      </x:c>
      <x:c r="N56" s="75" t="str">
        <x:v>미착수</x:v>
      </x:c>
      <x:c r="O56" s="93" t="n">
        <x:f t="shared" si="1"/>
        <x:v>0</x:v>
      </x:c>
      <x:c r="P56" s="76"/>
      <x:c r="Q56" s="76" t="str">
        <x:v>대표 시나리오가 화면 간 데이터 손실 없이 끝까지 실행됨</x:v>
      </x:c>
      <x:c r="R56" s="76" t="str">
        <x:v>기획서 5-5 · 요구사항정의서 · 화면설계서 E2E</x:v>
      </x:c>
    </x:row>
    <x:row r="57" ht="44" customHeight="1">
      <x:c r="A57" s="75" t="str">
        <x:v>T-047</x:v>
      </x:c>
      <x:c r="B57" s="75" t="str">
        <x:v>P0</x:v>
      </x:c>
      <x:c r="C57" s="75" t="str">
        <x:v>통합·검증·배포</x:v>
      </x:c>
      <x:c r="D57" s="75" t="str">
        <x:v>테스트 및 검증</x:v>
      </x:c>
      <x:c r="E57" s="76" t="str">
        <x:v>사용자·제품·문진·문의·상담·방문 API와 State Machine의 정상·예외·권한·allowed_actions·state_version·idempotency_key·correlation_id 테스트를 작성한다.</x:v>
      </x:c>
      <x:c r="F57" s="75" t="str">
        <x:v>FR-001~FR-034, FR-038, DR-001~DR-012, DR-014~DR-015</x:v>
      </x:c>
      <x:c r="G57" s="75" t="str">
        <x:v>백엔드·데이터베이스</x:v>
      </x:c>
      <x:c r="H57" s="75" t="str">
        <x:v>최지용</x:v>
      </x:c>
      <x:c r="I57" s="75" t="str">
        <x:v>김은진</x:v>
      </x:c>
      <x:c r="J57" s="75" t="str">
        <x:v>T-016~T-024, T-044</x:v>
      </x:c>
      <x:c r="K57" s="87" t="n">
        <x:v>46259</x:v>
      </x:c>
      <x:c r="L57" s="87" t="n">
        <x:v>46260</x:v>
      </x:c>
      <x:c r="M57" s="78" t="n">
        <x:v>2</x:v>
      </x:c>
      <x:c r="N57" s="75" t="str">
        <x:v>미착수</x:v>
      </x:c>
      <x:c r="O57" s="93" t="n">
        <x:f t="shared" si="1"/>
        <x:v>0</x:v>
      </x:c>
      <x:c r="P57" s="76"/>
      <x:c r="Q57" s="76" t="str">
        <x:v>사용 안내 상태 저장·조회, 방문 희망일·확정일 구분, 후속 해결 입력과 문의 재개를 포함한 핵심 API 정상·예외·권한 테스트가 통과함</x:v>
      </x:c>
      <x:c r="R57" s="76" t="str">
        <x:v>기획서 5-5 · 요구사항정의서 · 화면설계서 E2E</x:v>
      </x:c>
    </x:row>
    <x:row r="58" ht="44" customHeight="1">
      <x:c r="A58" s="75" t="str">
        <x:v>T-047A</x:v>
      </x:c>
      <x:c r="B58" s="75" t="str">
        <x:v>P0</x:v>
      </x:c>
      <x:c r="C58" s="75" t="str">
        <x:v>통합·검증·배포</x:v>
      </x:c>
      <x:c r="D58" s="75" t="str">
        <x:v>계정 관리 보안 테스트</x:v>
      </x:c>
      <x:c r="E58" s="76" t="str">
        <x:v>Django Admin, 사용자 CRUD, 비활성·재활성, Refresh 폐기, 권한 상승 방지, 마지막 관리자 보호와 감사 이력의 정상·예외·회귀 테스트를 수행한다.</x:v>
      </x:c>
      <x:c r="F58" s="75" t="str">
        <x:v>FR-039, FR-042, NFR-019~NFR-020, DR-016, CR-013~CR-014</x:v>
      </x:c>
      <x:c r="G58" s="75" t="str">
        <x:v>백엔드·데이터베이스</x:v>
      </x:c>
      <x:c r="H58" s="75" t="str">
        <x:v>최지용</x:v>
      </x:c>
      <x:c r="I58" s="75" t="str">
        <x:v>김은진</x:v>
      </x:c>
      <x:c r="J58" s="75" t="str">
        <x:v>T-017B, T-017C, T-047</x:v>
      </x:c>
      <x:c r="K58" s="87" t="n">
        <x:v>46260</x:v>
      </x:c>
      <x:c r="L58" s="87" t="n">
        <x:v>46261</x:v>
      </x:c>
      <x:c r="M58" s="78" t="n">
        <x:v>1</x:v>
      </x:c>
      <x:c r="N58" s="75" t="str">
        <x:v>미착수</x:v>
      </x:c>
      <x:c r="O58" s="93" t="n">
        <x:f t="shared" si="1"/>
        <x:v>0</x:v>
      </x:c>
      <x:c r="P58" s="76"/>
      <x:c r="Q58" s="76" t="str">
        <x:v>비staff 접근, 금지 필드 변경, 일반 관리자의 권한 상승, 마지막 관리자 비활성, 과거 Refresh 재사용과 물리 삭제가 차단되고 감사 이력이 검증됨</x:v>
      </x:c>
      <x:c r="R58" s="76" t="str">
        <x:v>요구사항정의서 v2 · 계정관리 인수 테스트</x:v>
      </x:c>
    </x:row>
    <x:row r="59" ht="44" customHeight="1">
      <x:c r="A59" s="75" t="str">
        <x:v>T-048</x:v>
      </x:c>
      <x:c r="B59" s="75" t="str">
        <x:v>P0</x:v>
      </x:c>
      <x:c r="C59" s="75" t="str">
        <x:v>통합·검증·배포</x:v>
      </x:c>
      <x:c r="D59" s="75" t="str">
        <x:v>테스트 및 검증</x:v>
      </x:c>
      <x:c r="E59" s="76" t="str">
        <x:v>API·AI·RAG·안전성·권한·성능·상태 전환·계정 관리 보안·EvidenceCardDTO 비노출·문서 링크 Fallback 결과를 취합하여 서비스 테스트 계획 및 결과 보고서를 작성한다.</x:v>
      </x:c>
      <x:c r="F59" s="75" t="str">
        <x:v>FR-001~FR-039, FR-042, NFR-001~NFR-007, NFR-009~NFR-015, NFR-017, NFR-019~NFR-020, DR-001~DR-012, DR-014~DR-016, CR-013~CR-014</x:v>
      </x:c>
      <x:c r="G59" s="75" t="str">
        <x:v>데이터·QA·DevOps</x:v>
      </x:c>
      <x:c r="H59" s="75" t="str">
        <x:v>김은진</x:v>
      </x:c>
      <x:c r="I59" s="75" t="str">
        <x:v>전 팀원</x:v>
      </x:c>
      <x:c r="J59" s="75" t="str">
        <x:v>T-047, T-047A, T-049~T-051</x:v>
      </x:c>
      <x:c r="K59" s="87" t="n">
        <x:v>46259</x:v>
      </x:c>
      <x:c r="L59" s="87" t="n">
        <x:v>46260</x:v>
      </x:c>
      <x:c r="M59" s="78" t="n">
        <x:v>2</x:v>
      </x:c>
      <x:c r="N59" s="75" t="str">
        <x:v>미착수</x:v>
      </x:c>
      <x:c r="O59" s="93" t="n">
        <x:f t="shared" si="1"/>
        <x:v>0</x:v>
      </x:c>
      <x:c r="P59" s="76"/>
      <x:c r="Q59" s="76" t="str">
        <x:v>테스트 범위·환경·결과, 계정 비활성·접근 회수·감사, 사용 안내 상태·근거 일치성·상태 가시성·문의 재개 결과와 미해결 이슈가 제출 가능한 형태로 정리됨</x:v>
      </x:c>
      <x:c r="R59" s="76" t="str">
        <x:v>기획서 5-5 · 요구사항정의서 · 화면설계서 E2E</x:v>
      </x:c>
    </x:row>
    <x:row r="60" ht="44" customHeight="1">
      <x:c r="A60" s="75" t="str">
        <x:v>T-049</x:v>
      </x:c>
      <x:c r="B60" s="75" t="str">
        <x:v>P0</x:v>
      </x:c>
      <x:c r="C60" s="75" t="str">
        <x:v>통합·검증·배포</x:v>
      </x:c>
      <x:c r="D60" s="75" t="str">
        <x:v>테스트 및 검증</x:v>
      </x:c>
      <x:c r="E60" s="76" t="str">
        <x:v>누수·전기·화상·온수 경고·근거 부재·확정 진단, JAC104 D/S 혼용, IAC425 MVP 노출, IAC506 사용과 미검증 FAQ 단독 답변을 차단하는 안전성 테스트를 수행한다.</x:v>
      </x:c>
      <x:c r="F60" s="75" t="str">
        <x:v>FR-038, NFR-001~NFR-004, CR-010~CR-011</x:v>
      </x:c>
      <x:c r="G60" s="75" t="str">
        <x:v>AI·RAG</x:v>
      </x:c>
      <x:c r="H60" s="75" t="str">
        <x:v>이동윤</x:v>
      </x:c>
      <x:c r="I60" s="75" t="str">
        <x:v>김은진</x:v>
      </x:c>
      <x:c r="J60" s="75" t="str">
        <x:v>T-015, T-027, T-031</x:v>
      </x:c>
      <x:c r="K60" s="87" t="n">
        <x:v>46261</x:v>
      </x:c>
      <x:c r="L60" s="87" t="n">
        <x:v>46262</x:v>
      </x:c>
      <x:c r="M60" s="78" t="n">
        <x:v>1.5</x:v>
      </x:c>
      <x:c r="N60" s="75" t="str">
        <x:v>미착수</x:v>
      </x:c>
      <x:c r="O60" s="93" t="n">
        <x:f t="shared" si="1"/>
        <x:v>0</x:v>
      </x:c>
      <x:c r="P60" s="76"/>
      <x:c r="Q60" s="76" t="str">
        <x:v>위험 시나리오에서 잘못된 사용 가능 판정, 일부 사용 중지 범위 오류와 판단 보류 누락이 없음</x:v>
      </x:c>
      <x:c r="R60" s="76" t="str">
        <x:v>기획서 5-5 · 요구사항정의서 · 화면설계서 E2E</x:v>
      </x:c>
    </x:row>
    <x:row r="61" ht="44" customHeight="1">
      <x:c r="A61" s="75" t="str">
        <x:v>T-050</x:v>
      </x:c>
      <x:c r="B61" s="75" t="str">
        <x:v>P0</x:v>
      </x:c>
      <x:c r="C61" s="75" t="str">
        <x:v>통합·검증·배포</x:v>
      </x:c>
      <x:c r="D61" s="75" t="str">
        <x:v>테스트 및 검증</x:v>
      </x:c>
      <x:c r="E61" s="76" t="str">
        <x:v>역할별 화면의 allowed_actions와 실제 버튼 일치, 반복 질문 방지, 담당자 권한, 방문 일정, 자가 해결/COMPLETION_PENDING/문의 재개 정책과 AI 초안·담당자 확정본 표시를 검증한다.</x:v>
      </x:c>
      <x:c r="F61" s="75" t="str">
        <x:v>FR-026, FR-032~FR-033, NFR-011~NFR-015, DR-014</x:v>
      </x:c>
      <x:c r="G61" s="75" t="str">
        <x:v>데이터·QA·DevOps</x:v>
      </x:c>
      <x:c r="H61" s="75" t="str">
        <x:v>김은진</x:v>
      </x:c>
      <x:c r="I61" s="75" t="str">
        <x:v>양정현 · 한예나 · 최지용 · 이동윤</x:v>
      </x:c>
      <x:c r="J61" s="75" t="str">
        <x:v>T-033~T-043</x:v>
      </x:c>
      <x:c r="K61" s="87" t="n">
        <x:v>46259</x:v>
      </x:c>
      <x:c r="L61" s="87" t="n">
        <x:v>46260</x:v>
      </x:c>
      <x:c r="M61" s="78" t="n">
        <x:v>1.5</x:v>
      </x:c>
      <x:c r="N61" s="75" t="str">
        <x:v>미착수</x:v>
      </x:c>
      <x:c r="O61" s="93" t="n">
        <x:f t="shared" si="1"/>
        <x:v>0</x:v>
      </x:c>
      <x:c r="P61" s="76"/>
      <x:c r="Q61" s="76" t="str">
        <x:v>담당 주체·고객 행동·방문 일정·완료 대기·문의 재개 정보가 누락 없이 표시되고 상태 전환이 정상 동작함</x:v>
      </x:c>
      <x:c r="R61" s="76" t="str">
        <x:v>기획서 5-5 · 요구사항정의서 · 화면설계서 E2E</x:v>
      </x:c>
    </x:row>
    <x:row r="62" ht="44" customHeight="1">
      <x:c r="A62" s="75" t="str">
        <x:v>T-051</x:v>
      </x:c>
      <x:c r="B62" s="75" t="str">
        <x:v>P0</x:v>
      </x:c>
      <x:c r="C62" s="75" t="str">
        <x:v>통합·검증·배포</x:v>
      </x:c>
      <x:c r="D62" s="75" t="str">
        <x:v>테스트 및 검증</x:v>
      </x:c>
      <x:c r="E62" s="76" t="str">
        <x:v>AI p95 10초, 일반 API 안정성, 동일 idempotency_key 재전송, state_version 충돌, AI·검색 타임아웃·재시도·상담 Fallback과 correlation_id 로그 연결을 검증한다.</x:v>
      </x:c>
      <x:c r="F62" s="75" t="str">
        <x:v>NFR-007, NFR-009~NFR-010</x:v>
      </x:c>
      <x:c r="G62" s="75" t="str">
        <x:v>데이터·QA·DevOps</x:v>
      </x:c>
      <x:c r="H62" s="75" t="str">
        <x:v>김은진</x:v>
      </x:c>
      <x:c r="I62" s="75" t="str">
        <x:v>양정현 · 한예나 · 최지용 · 이동윤</x:v>
      </x:c>
      <x:c r="J62" s="75" t="str">
        <x:v>T-024, T-032, T-046</x:v>
      </x:c>
      <x:c r="K62" s="87" t="n">
        <x:v>46261</x:v>
      </x:c>
      <x:c r="L62" s="87" t="n">
        <x:v>46262</x:v>
      </x:c>
      <x:c r="M62" s="78" t="n">
        <x:v>2</x:v>
      </x:c>
      <x:c r="N62" s="75" t="str">
        <x:v>미착수</x:v>
      </x:c>
      <x:c r="O62" s="93" t="n">
        <x:f t="shared" si="1"/>
        <x:v>0</x:v>
      </x:c>
      <x:c r="P62" s="76"/>
      <x:c r="Q62" s="76" t="str">
        <x:v>성능 측정 결과와 장애·중복 요청 테스트가 기록됨</x:v>
      </x:c>
      <x:c r="R62" s="76" t="str">
        <x:v>기획서 5-5 · 요구사항정의서 · 화면설계서 E2E</x:v>
      </x:c>
    </x:row>
    <x:row r="63" ht="44" customHeight="1">
      <x:c r="A63" s="75" t="str">
        <x:v>T-052</x:v>
      </x:c>
      <x:c r="B63" s="75" t="str">
        <x:v>P0</x:v>
      </x:c>
      <x:c r="C63" s="75" t="str">
        <x:v>통합·검증·배포</x:v>
      </x:c>
      <x:c r="D63" s="75" t="str">
        <x:v>시연 준비</x:v>
      </x:c>
      <x:c r="E63" s="76" t="str">
        <x:v>대표 시연을 WPUJAC104DWH / SYN-JAC104-002 / DEMO-INQ-002 / 출수량 저하 / 매뉴얼 REV.00 38쪽으로 고정하고 문진→구조화→위험 판정→공식 검색→자가확인→상담→방문→후속 확인 Seed·초기화 스크립트·대본을 구성한다.</x:v>
      </x:c>
      <x:c r="F63" s="75" t="str">
        <x:v>P0 핵심 시연 시나리오, FR-006~FR-032, FR-038</x:v>
      </x:c>
      <x:c r="G63" s="75" t="str">
        <x:v>PM·기술 통합</x:v>
      </x:c>
      <x:c r="H63" s="75" t="str">
        <x:v>윤승혁</x:v>
      </x:c>
      <x:c r="I63" s="75" t="str">
        <x:v>김은진 · 전 팀원</x:v>
      </x:c>
      <x:c r="J63" s="75" t="str">
        <x:v>T-014, T-046</x:v>
      </x:c>
      <x:c r="K63" s="87" t="n">
        <x:v>46238</x:v>
      </x:c>
      <x:c r="L63" s="87" t="n">
        <x:v>46238</x:v>
      </x:c>
      <x:c r="M63" s="78" t="n">
        <x:v>1</x:v>
      </x:c>
      <x:c r="N63" s="75" t="str">
        <x:v>미착수</x:v>
      </x:c>
      <x:c r="O63" s="93" t="n">
        <x:f t="shared" si="1"/>
        <x:v>0</x:v>
      </x:c>
      <x:c r="P63" s="76"/>
      <x:c r="Q63" s="76" t="str">
        <x:v>8/6 중간 발표와 9/3 최종 발표에서 현재 사용 안내부터 고객→상담사→방문기사→고객 후속 확인 흐름이 동일하게 재현됨</x:v>
      </x:c>
      <x:c r="R63" s="76" t="str">
        <x:v>기획서 5-5 · 요구사항정의서 · 화면설계서 E2E</x:v>
      </x:c>
    </x:row>
    <x:row r="64" ht="44" customHeight="1">
      <x:c r="A64" s="75" t="str">
        <x:v>T-053</x:v>
      </x:c>
      <x:c r="B64" s="75" t="str">
        <x:v>P0</x:v>
      </x:c>
      <x:c r="C64" s="75" t="str">
        <x:v>통합·검증·배포</x:v>
      </x:c>
      <x:c r="D64" s="75" t="str">
        <x:v>배포 및 문서화</x:v>
      </x:c>
      <x:c r="E64" s="76" t="str">
        <x:v>Docker 실행 환경, 환경변수·비밀키 분리, DB·Vector DB 초기화, 확정 배포 환경 배포, 모바일·웹·백엔드·AI 연동, 내부 Django Admin 접근 제한, 시연 초기화 스크립트, Git 원본 PDF 제외와 Smoke Test를 완료하고 README·실행 문서·시연영상을 정리한다.</x:v>
      </x:c>
      <x:c r="F64" s="75" t="str">
        <x:v>NFR-009, NFR-017, NFR-019, CR-013</x:v>
      </x:c>
      <x:c r="G64" s="75" t="str">
        <x:v>데이터·QA·DevOps</x:v>
      </x:c>
      <x:c r="H64" s="75" t="str">
        <x:v>김은진</x:v>
      </x:c>
      <x:c r="I64" s="75" t="str">
        <x:v>윤승혁 · 전 개발 담당</x:v>
      </x:c>
      <x:c r="J64" s="75" t="str">
        <x:v>T-046, T-047, T-047A, T-051</x:v>
      </x:c>
      <x:c r="K64" s="87" t="n">
        <x:v>46265</x:v>
      </x:c>
      <x:c r="L64" s="87" t="n">
        <x:v>46266</x:v>
      </x:c>
      <x:c r="M64" s="78" t="n">
        <x:v>2</x:v>
      </x:c>
      <x:c r="N64" s="75" t="str">
        <x:v>미착수</x:v>
      </x:c>
      <x:c r="O64" s="93" t="n">
        <x:f t="shared" si="1"/>
        <x:v>0</x:v>
      </x:c>
      <x:c r="P64" s="76"/>
      <x:c r="Q64" s="76" t="str">
        <x:v>배포 주소에서 대표 시연이 재현되고 내부 Admin이 제한된 접근 범위에서만 동작하며 소스·환경설정 예시·초기화 절차·시연영상·Smoke Test 결과가 제출 가능함</x:v>
      </x:c>
      <x:c r="R64" s="76" t="str">
        <x:v>기획서 5-5 · 요구사항정의서 · 화면설계서 E2E</x:v>
      </x:c>
    </x:row>
    <x:row r="65" ht="44" customHeight="1">
      <x:c r="A65" s="75" t="str">
        <x:v>T-054</x:v>
      </x:c>
      <x:c r="B65" s="75" t="str">
        <x:v>P0</x:v>
      </x:c>
      <x:c r="C65" s="75" t="str">
        <x:v>통합·검증·배포</x:v>
      </x:c>
      <x:c r="D65" s="75" t="str">
        <x:v>최종 통합 검수</x:v>
      </x:c>
      <x:c r="E65" s="76" t="str">
        <x:v>P0 요구사항 추적표와 대표 E2E를 기준으로 모바일·웹·백엔드·AI·RAG·데이터·계정 관리·배포를 통합 검수하고 차단 결함 수정, 제출물 검수와 최종 리허설을 9월 2일까지 완료한다.</x:v>
      </x:c>
      <x:c r="F65" s="75" t="str">
        <x:v>P0 요구사항 전체</x:v>
      </x:c>
      <x:c r="G65" s="75" t="str">
        <x:v>PM·기술 통합</x:v>
      </x:c>
      <x:c r="H65" s="75" t="str">
        <x:v>윤승혁</x:v>
      </x:c>
      <x:c r="I65" s="75" t="str">
        <x:v>전 팀원</x:v>
      </x:c>
      <x:c r="J65" s="75" t="str">
        <x:v>T-047, T-047A, T-048~T-053</x:v>
      </x:c>
      <x:c r="K65" s="87" t="n">
        <x:v>46267</x:v>
      </x:c>
      <x:c r="L65" s="87" t="n">
        <x:v>46267</x:v>
      </x:c>
      <x:c r="M65" s="78" t="n">
        <x:v>2</x:v>
      </x:c>
      <x:c r="N65" s="75" t="str">
        <x:v>미착수</x:v>
      </x:c>
      <x:c r="O65" s="93" t="n">
        <x:f t="shared" si="1"/>
        <x:v>0</x:v>
      </x:c>
      <x:c r="P65" s="76"/>
      <x:c r="Q65" s="76" t="str">
        <x:v>9월 2일까지 차단 결함 수정, 제출물 검수와 최종 리허설이 끝나고 9월 3일 발표 환경이 준비됨</x:v>
      </x:c>
      <x:c r="R65" s="76" t="str">
        <x:v>기획서 5-5 · 요구사항정의서 · 화면설계서 E2E</x:v>
      </x:c>
    </x:row>
    <x:row r="66" ht="44" customHeight="1">
      <x:c r="A66" s="75" t="str">
        <x:v>T-055</x:v>
      </x:c>
      <x:c r="B66" s="75" t="str">
        <x:v>P0</x:v>
      </x:c>
      <x:c r="C66" s="75" t="str">
        <x:v>통합·검증·배포</x:v>
      </x:c>
      <x:c r="D66" s="75" t="str">
        <x:v>사후 상태 확인</x:v>
      </x:c>
      <x:c r="E66" s="76" t="str">
        <x:v>상담·방문 처리 후 고객에게 처리 결과와 갱신된 현재 사용 안내를 제공하고 해결 여부를 저장한다. 고객 해결 피드백만으로는 COMPLETION_PENDING을 유지하며 담당 상담사·기사가 FINALIZE_INQUIRY한 뒤 RESOLVED로 전환한다.</x:v>
      </x:c>
      <x:c r="F66" s="75" t="str">
        <x:v>FR-032, FR-033, FR-038, NFR-015</x:v>
      </x:c>
      <x:c r="G66" s="75" t="str">
        <x:v>백엔드·데이터베이스</x:v>
      </x:c>
      <x:c r="H66" s="75" t="str">
        <x:v>최지용</x:v>
      </x:c>
      <x:c r="I66" s="75" t="str">
        <x:v>양정현 · 윤승혁</x:v>
      </x:c>
      <x:c r="J66" s="75" t="str">
        <x:v>T-023, T-037, T-044</x:v>
      </x:c>
      <x:c r="K66" s="87" t="n">
        <x:v>46253</x:v>
      </x:c>
      <x:c r="L66" s="87" t="n">
        <x:v>46253</x:v>
      </x:c>
      <x:c r="M66" s="78" t="n">
        <x:v>0.5</x:v>
      </x:c>
      <x:c r="N66" s="75" t="str">
        <x:v>미착수</x:v>
      </x:c>
      <x:c r="O66" s="93" t="n">
        <x:f t="shared" si="1"/>
        <x:v>0</x:v>
      </x:c>
      <x:c r="P66" s="76"/>
      <x:c r="Q66" s="76" t="str">
        <x:v>고객 피드백, 담당자 최종 완료, 미해결 REOPENED·상담 재요청과 상태 이력이 완료 정책에 맞게 저장됨</x:v>
      </x:c>
      <x:c r="R66" s="76" t="str">
        <x:v>기획서 5-5 · 요구사항정의서 · 화면설계서 E2E</x:v>
      </x:c>
    </x:row>
    <x:row r="67" ht="44" customHeight="1">
      <x:c r="A67" s="75" t="str">
        <x:v>T-101</x:v>
      </x:c>
      <x:c r="B67" s="75" t="str">
        <x:v>P1</x:v>
      </x:c>
      <x:c r="C67" s="75" t="str">
        <x:v>P1 후속 로드맵</x:v>
      </x:c>
      <x:c r="D67" s="75" t="str">
        <x:v>P1 운영 관리</x:v>
      </x:c>
      <x:c r="E67" s="76" t="str">
        <x:v>기간·모델·관리 유형·담당자·위험도·상태별 문의 현황 조회와 필터를 구현한다.</x:v>
      </x:c>
      <x:c r="F67" s="75" t="str">
        <x:v>FR-035, DR-013</x:v>
      </x:c>
      <x:c r="G67" s="75" t="str">
        <x:v>웹 프론트엔드</x:v>
      </x:c>
      <x:c r="H67" s="75" t="str">
        <x:v>한예나</x:v>
      </x:c>
      <x:c r="I67" s="75" t="str">
        <x:v>양정현 · 최지용</x:v>
      </x:c>
      <x:c r="J67" s="75" t="str">
        <x:v>T-046</x:v>
      </x:c>
      <x:c r="K67" s="87" t="n">
        <x:v>46272</x:v>
      </x:c>
      <x:c r="L67" s="87" t="n">
        <x:v>46272</x:v>
      </x:c>
      <x:c r="M67" s="78" t="n">
        <x:v>0.5</x:v>
      </x:c>
      <x:c r="N67" s="75" t="str">
        <x:v>미착수</x:v>
      </x:c>
      <x:c r="O67" s="93" t="n">
        <x:f t="shared" si="1"/>
        <x:v>0</x:v>
      </x:c>
      <x:c r="P67" s="76"/>
      <x:c r="Q67" s="76" t="str">
        <x:v>운영 조건별 목록·집계 조회가 가능함</x:v>
      </x:c>
      <x:c r="R67" s="76" t="str">
        <x:v>요구사항정의서 P1 · 화면설계서 ADMIN-01</x:v>
      </x:c>
    </x:row>
    <x:row r="68" ht="44" customHeight="1">
      <x:c r="A68" s="75" t="str">
        <x:v>T-102</x:v>
      </x:c>
      <x:c r="B68" s="75" t="str">
        <x:v>P1</x:v>
      </x:c>
      <x:c r="C68" s="75" t="str">
        <x:v>P1 후속 로드맵</x:v>
      </x:c>
      <x:c r="D68" s="75" t="str">
        <x:v>P1 운영 관리</x:v>
      </x:c>
      <x:c r="E68" s="76" t="str">
        <x:v>증상 유형·처리 상태·상담 전환·방문 전환 지표 집계 API와 운영 대시보드를 구현한다.</x:v>
      </x:c>
      <x:c r="F68" s="75" t="str">
        <x:v>FR-036, DR-013</x:v>
      </x:c>
      <x:c r="G68" s="75" t="str">
        <x:v>웹 프론트엔드</x:v>
      </x:c>
      <x:c r="H68" s="75" t="str">
        <x:v>한예나</x:v>
      </x:c>
      <x:c r="I68" s="75" t="str">
        <x:v>양정현 · 최지용</x:v>
      </x:c>
      <x:c r="J68" s="75" t="str">
        <x:v>T-101</x:v>
      </x:c>
      <x:c r="K68" s="87" t="n">
        <x:v>46269</x:v>
      </x:c>
      <x:c r="L68" s="87" t="n">
        <x:v>46269</x:v>
      </x:c>
      <x:c r="M68" s="78" t="n">
        <x:v>0.5</x:v>
      </x:c>
      <x:c r="N68" s="75" t="str">
        <x:v>미착수</x:v>
      </x:c>
      <x:c r="O68" s="93" t="n">
        <x:f t="shared" si="1"/>
        <x:v>0</x:v>
      </x:c>
      <x:c r="P68" s="76"/>
      <x:c r="Q68" s="76" t="str">
        <x:v>저장된 문의 데이터 기반 차트와 집계 수치가 표시됨</x:v>
      </x:c>
      <x:c r="R68" s="76" t="str">
        <x:v>요구사항정의서 P1 · 화면설계서 ADMIN-01</x:v>
      </x:c>
    </x:row>
    <x:row r="69" ht="44" customHeight="1">
      <x:c r="A69" s="75" t="str">
        <x:v>T-103</x:v>
      </x:c>
      <x:c r="B69" s="75" t="str">
        <x:v>P1</x:v>
      </x:c>
      <x:c r="C69" s="75" t="str">
        <x:v>P1 후속 로드맵</x:v>
      </x:c>
      <x:c r="D69" s="75" t="str">
        <x:v>P1 운영 관리</x:v>
      </x:c>
      <x:c r="E69" s="76" t="str">
        <x:v>케어 일정 미산정·문진 미응답·처리 지연·근거 검색 실패 예외 건 조회를 구현한다.</x:v>
      </x:c>
      <x:c r="F69" s="75" t="str">
        <x:v>FR-037</x:v>
      </x:c>
      <x:c r="G69" s="75" t="str">
        <x:v>웹 프론트엔드</x:v>
      </x:c>
      <x:c r="H69" s="75" t="str">
        <x:v>한예나</x:v>
      </x:c>
      <x:c r="I69" s="75" t="str">
        <x:v>양정현 · 최지용</x:v>
      </x:c>
      <x:c r="J69" s="75" t="str">
        <x:v>T-101</x:v>
      </x:c>
      <x:c r="K69" s="87" t="n">
        <x:v>46269</x:v>
      </x:c>
      <x:c r="L69" s="87" t="n">
        <x:v>46269</x:v>
      </x:c>
      <x:c r="M69" s="78" t="n">
        <x:v>0.5</x:v>
      </x:c>
      <x:c r="N69" s="75" t="str">
        <x:v>미착수</x:v>
      </x:c>
      <x:c r="O69" s="93" t="n">
        <x:f t="shared" ref="O69" si="2">IF(N69="완료",1,IF(N69="진행 중",0.5,IF(N69="보류",0.25,0)))</x:f>
        <x:v>0</x:v>
      </x:c>
      <x:c r="P69" s="76"/>
      <x:c r="Q69" s="76" t="str">
        <x:v>예외 사유와 마지막 처리 단계가 표시됨</x:v>
      </x:c>
      <x:c r="R69" s="76" t="str">
        <x:v>요구사항정의서 P1 · 화면설계서 ADMIN-01</x:v>
      </x:c>
    </x:row>
    <x:row r="70" ht="44" customHeight="1">
      <x:c r="A70" s="80" t="str">
        <x:v>T-104</x:v>
      </x:c>
      <x:c r="B70" s="80" t="str">
        <x:v>P1</x:v>
      </x:c>
      <x:c r="C70" s="80" t="str">
        <x:v>P1 후속 로드맵</x:v>
      </x:c>
      <x:c r="D70" s="80" t="str">
        <x:v>P1 사용성</x:v>
      </x:c>
      <x:c r="E70" s="80" t="str">
        <x:v>고객 모바일 앱과 상담사 웹·기사 태블릿 화면의 모바일·데스크톱 반응형 레이아웃을 후속 고도화한다.</x:v>
      </x:c>
      <x:c r="F70" s="80" t="str">
        <x:v>NFR-016</x:v>
      </x:c>
      <x:c r="G70" s="80" t="str">
        <x:v>웹 프론트엔드</x:v>
      </x:c>
      <x:c r="H70" s="80" t="str">
        <x:v>한예나</x:v>
      </x:c>
      <x:c r="I70" s="80" t="str">
        <x:v>양정현 · 최지용</x:v>
      </x:c>
      <x:c r="J70" s="80" t="str">
        <x:v>T-045, T-046</x:v>
      </x:c>
      <x:c r="K70" s="88" t="n">
        <x:v>46273</x:v>
      </x:c>
      <x:c r="L70" s="88" t="n">
        <x:v>46273</x:v>
      </x:c>
      <x:c r="M70" s="91" t="n">
        <x:v>0.5</x:v>
      </x:c>
      <x:c r="N70" s="80" t="str">
        <x:v>미착수</x:v>
      </x:c>
      <x:c r="O70" s="94" t="n">
        <x:v>0</x:v>
      </x:c>
      <x:c r="P70" s="80"/>
      <x:c r="Q70" s="80" t="str">
        <x:v>주요 화면이 모바일과 데스크톱에서 깨짐 없이 사용됨</x:v>
      </x:c>
      <x:c r="R70" s="80" t="str">
        <x:v>요구사항정의서 P1 · 화면설계서 ADMIN-01</x:v>
      </x:c>
    </x:row>
    <x:row r="71" ht="44" customHeight="1">
      <x:c r="A71" s="80" t="str">
        <x:v>T-105</x:v>
      </x:c>
      <x:c r="B71" s="80" t="str">
        <x:v>P1</x:v>
      </x:c>
      <x:c r="C71" s="80" t="str">
        <x:v>P1 후속 로드맵</x:v>
      </x:c>
      <x:c r="D71" s="80" t="str">
        <x:v>P1 유지보수성</x:v>
      </x:c>
      <x:c r="E71" s="80" t="str">
        <x:v>증상 분류 규칙·위험 규칙·프롬프트를 코드와 분리하고 버전·변경 이력을 관리한다.</x:v>
      </x:c>
      <x:c r="F71" s="80" t="str">
        <x:v>NFR-018</x:v>
      </x:c>
      <x:c r="G71" s="80" t="str">
        <x:v>AI·RAG</x:v>
      </x:c>
      <x:c r="H71" s="80" t="str">
        <x:v>이동윤</x:v>
      </x:c>
      <x:c r="I71" s="80" t="str">
        <x:v>김은진</x:v>
      </x:c>
      <x:c r="J71" s="80" t="str">
        <x:v>T-025, T-031</x:v>
      </x:c>
      <x:c r="K71" s="88" t="n">
        <x:v>46269</x:v>
      </x:c>
      <x:c r="L71" s="88" t="n">
        <x:v>46269</x:v>
      </x:c>
      <x:c r="M71" s="91" t="n">
        <x:v>0.5</x:v>
      </x:c>
      <x:c r="N71" s="80" t="str">
        <x:v>미착수</x:v>
      </x:c>
      <x:c r="O71" s="94" t="n">
        <x:v>0</x:v>
      </x:c>
      <x:c r="P71" s="80"/>
      <x:c r="Q71" s="80" t="str">
        <x:v>설정 파일 변경만으로 규칙·프롬프트 수정이 가능함</x:v>
      </x:c>
      <x:c r="R71" s="80" t="str">
        <x:v>요구사항정의서 P1 · 화면설계서 ADMIN-01</x:v>
      </x:c>
    </x:row>
    <x:row r="72" ht="44" customHeight="1">
      <x:c r="A72" s="80" t="str">
        <x:v>T-106</x:v>
      </x:c>
      <x:c r="B72" s="80" t="str">
        <x:v>P1</x:v>
      </x:c>
      <x:c r="C72" s="80" t="str">
        <x:v>P1 후속 로드맵</x:v>
      </x:c>
      <x:c r="D72" s="80" t="str">
        <x:v>P1 성능</x:v>
      </x:c>
      <x:c r="E72" s="80" t="str">
        <x:v>일반 조회·저장 API의 95백분위 3초 목표를 기준으로 쿼리와 캐시를 최적화한다.</x:v>
      </x:c>
      <x:c r="F72" s="80" t="str">
        <x:v>NFR-008</x:v>
      </x:c>
      <x:c r="G72" s="80" t="str">
        <x:v>백엔드·데이터베이스</x:v>
      </x:c>
      <x:c r="H72" s="80" t="str">
        <x:v>최지용</x:v>
      </x:c>
      <x:c r="I72" s="80" t="str">
        <x:v>김은진</x:v>
      </x:c>
      <x:c r="J72" s="80" t="str">
        <x:v>T-051</x:v>
      </x:c>
      <x:c r="K72" s="88" t="n">
        <x:v>46272</x:v>
      </x:c>
      <x:c r="L72" s="88" t="n">
        <x:v>46272</x:v>
      </x:c>
      <x:c r="M72" s="91" t="n">
        <x:v>0.5</x:v>
      </x:c>
      <x:c r="N72" s="80" t="str">
        <x:v>미착수</x:v>
      </x:c>
      <x:c r="O72" s="94" t="n">
        <x:v>0</x:v>
      </x:c>
      <x:c r="P72" s="80"/>
      <x:c r="Q72" s="80" t="str">
        <x:v>주요 일반 API 성능 측정 결과가 목표 범위에 도달함</x:v>
      </x:c>
      <x:c r="R72" s="80" t="str">
        <x:v>요구사항정의서 P1 · 화면설계서 ADMIN-01</x:v>
      </x:c>
    </x:row>
    <x:row r="73" ht="44" customHeight="1">
      <x:c r="A73" s="80" t="str">
        <x:v>T-107</x:v>
      </x:c>
      <x:c r="B73" s="80" t="str">
        <x:v>P1</x:v>
      </x:c>
      <x:c r="C73" s="80" t="str">
        <x:v>P1 후속 로드맵</x:v>
      </x:c>
      <x:c r="D73" s="80" t="str">
        <x:v>P1 계정 권한 관리</x:v>
      </x:c>
      <x:c r="E73" s="80" t="str">
        <x:v>승인된 관리자 Group·Permission의 제한적 위임·회수 기능과 자기 권한 상승·마지막 관리자 보호 규칙을 구현한다.</x:v>
      </x:c>
      <x:c r="F73" s="80" t="str">
        <x:v>FR-040</x:v>
      </x:c>
      <x:c r="G73" s="80" t="str">
        <x:v>백엔드·데이터베이스</x:v>
      </x:c>
      <x:c r="H73" s="80" t="str">
        <x:v>최지용</x:v>
      </x:c>
      <x:c r="I73" s="80" t="str">
        <x:v>김은진 · 윤승혁</x:v>
      </x:c>
      <x:c r="J73" s="80" t="str">
        <x:v>T-017C</x:v>
      </x:c>
      <x:c r="K73" s="88" t="n">
        <x:v>46269</x:v>
      </x:c>
      <x:c r="L73" s="88" t="n">
        <x:v>46269</x:v>
      </x:c>
      <x:c r="M73" s="91" t="n">
        <x:v>0.5</x:v>
      </x:c>
      <x:c r="N73" s="80" t="str">
        <x:v>미착수</x:v>
      </x:c>
      <x:c r="O73" s="94" t="n">
        <x:v>0</x:v>
      </x:c>
      <x:c r="P73" s="80"/>
      <x:c r="Q73" s="80" t="str">
        <x:v>승인된 하위 Group만 위임·회수할 수 있고 자기 권한 상승, is_superuser 부여와 마지막 관리자 제거가 차단됨</x:v>
      </x:c>
      <x:c r="R73" s="80" t="str">
        <x:v>요구사항정의서 P1 · 계정관리 권한 계약</x:v>
      </x:c>
    </x:row>
    <x:row r="74" ht="44" customHeight="1">
      <x:c r="A74" s="80" t="str">
        <x:v>T-108</x:v>
      </x:c>
      <x:c r="B74" s="80" t="str">
        <x:v>P1</x:v>
      </x:c>
      <x:c r="C74" s="80" t="str">
        <x:v>P1 후속 로드맵</x:v>
      </x:c>
      <x:c r="D74" s="80" t="str">
        <x:v>P1 본인 프로필 API</x:v>
      </x:c>
      <x:c r="E74" s="80" t="str">
        <x:v>로그인 사용자의 안전한 본인 프로필 조회·수정 API와 역할별 수정 필드 Allowlist를 구현한다.</x:v>
      </x:c>
      <x:c r="F74" s="80" t="str">
        <x:v>FR-041</x:v>
      </x:c>
      <x:c r="G74" s="80" t="str">
        <x:v>백엔드·데이터베이스</x:v>
      </x:c>
      <x:c r="H74" s="80" t="str">
        <x:v>최지용</x:v>
      </x:c>
      <x:c r="I74" s="80" t="str">
        <x:v>양정현 · 한예나 · 김은진</x:v>
      </x:c>
      <x:c r="J74" s="80" t="str">
        <x:v>T-017, T-017C</x:v>
      </x:c>
      <x:c r="K74" s="88" t="n">
        <x:v>46269</x:v>
      </x:c>
      <x:c r="L74" s="88" t="n">
        <x:v>46269</x:v>
      </x:c>
      <x:c r="M74" s="91" t="n">
        <x:v>0.5</x:v>
      </x:c>
      <x:c r="N74" s="80" t="str">
        <x:v>미착수</x:v>
      </x:c>
      <x:c r="O74" s="94" t="n">
        <x:v>0</x:v>
      </x:c>
      <x:c r="P74" s="80"/>
      <x:c r="Q74" s="80" t="str">
        <x:v>본인 안전 Projection만 조회되고 역할·직원번호·활성 상태·관리자 권한 등 보호 필드 수정이 명시적으로 거부됨</x:v>
      </x:c>
      <x:c r="R74" s="80" t="str">
        <x:v>요구사항정의서 P1 · API 본인 프로필 계약</x:v>
      </x:c>
    </x:row>
    <x:row r="75" ht="44" customHeight="1">
      <x:c r="A75" s="80" t="str">
        <x:v>T-109</x:v>
      </x:c>
      <x:c r="B75" s="80" t="str">
        <x:v>P1</x:v>
      </x:c>
      <x:c r="C75" s="80" t="str">
        <x:v>P1 후속 로드맵</x:v>
      </x:c>
      <x:c r="D75" s="80" t="str">
        <x:v>P1 고객·기사 프로필</x:v>
      </x:c>
      <x:c r="E75" s="80" t="str">
        <x:v>고객·방문기사 Mobile에서 본인 프로필을 조회하고 허용된 표시명·연락 필드를 수정하는 화면을 구현한다.</x:v>
      </x:c>
      <x:c r="F75" s="80" t="str">
        <x:v>FR-041</x:v>
      </x:c>
      <x:c r="G75" s="80" t="str">
        <x:v>모바일 앱 개발</x:v>
      </x:c>
      <x:c r="H75" s="80" t="str">
        <x:v>양정현</x:v>
      </x:c>
      <x:c r="I75" s="80" t="str">
        <x:v>최지용 · 김은진</x:v>
      </x:c>
      <x:c r="J75" s="80" t="str">
        <x:v>T-108</x:v>
      </x:c>
      <x:c r="K75" s="88" t="n">
        <x:v>46272</x:v>
      </x:c>
      <x:c r="L75" s="88" t="n">
        <x:v>46272</x:v>
      </x:c>
      <x:c r="M75" s="91" t="n">
        <x:v>0.5</x:v>
      </x:c>
      <x:c r="N75" s="80" t="str">
        <x:v>미착수</x:v>
      </x:c>
      <x:c r="O75" s="94" t="n">
        <x:v>0</x:v>
      </x:c>
      <x:c r="P75" s="80"/>
      <x:c r="Q75" s="80" t="str">
        <x:v>Mobile에서 역할별 안전 Projection과 허용 필드만 표시·수정되며 401·403·409 오류가 처리됨</x:v>
      </x:c>
      <x:c r="R75" s="80" t="str">
        <x:v>요구사항정의서 P1 · 화면설계서 MY-01</x:v>
      </x:c>
    </x:row>
    <x:row r="76" ht="44" customHeight="1">
      <x:c r="A76" s="80" t="str">
        <x:v>T-110</x:v>
      </x:c>
      <x:c r="B76" s="80" t="str">
        <x:v>P1</x:v>
      </x:c>
      <x:c r="C76" s="80" t="str">
        <x:v>P1 후속 로드맵</x:v>
      </x:c>
      <x:c r="D76" s="80" t="str">
        <x:v>P1 상담사·운영 프로필</x:v>
      </x:c>
      <x:c r="E76" s="80" t="str">
        <x:v>상담사·운영 담당자 Web에서 본인 프로필을 조회하고 허용된 표시명·연락 필드를 수정하는 화면을 구현한다.</x:v>
      </x:c>
      <x:c r="F76" s="80" t="str">
        <x:v>FR-041</x:v>
      </x:c>
      <x:c r="G76" s="80" t="str">
        <x:v>웹 프론트엔드</x:v>
      </x:c>
      <x:c r="H76" s="80" t="str">
        <x:v>한예나</x:v>
      </x:c>
      <x:c r="I76" s="80" t="str">
        <x:v>최지용 · 김은진</x:v>
      </x:c>
      <x:c r="J76" s="80" t="str">
        <x:v>T-108</x:v>
      </x:c>
      <x:c r="K76" s="88" t="n">
        <x:v>46272</x:v>
      </x:c>
      <x:c r="L76" s="88" t="n">
        <x:v>46272</x:v>
      </x:c>
      <x:c r="M76" s="91" t="n">
        <x:v>0.5</x:v>
      </x:c>
      <x:c r="N76" s="80" t="str">
        <x:v>미착수</x:v>
      </x:c>
      <x:c r="O76" s="94" t="n">
        <x:v>0</x:v>
      </x:c>
      <x:c r="P76" s="80"/>
      <x:c r="Q76" s="80" t="str">
        <x:v>Web에서 역할별 안전 Projection과 허용 필드만 표시·수정되며 401·403·409 오류가 처리됨</x:v>
      </x:c>
      <x:c r="R76" s="80" t="str">
        <x:v>요구사항정의서 P1 · 화면설계서 MY-01</x:v>
      </x:c>
    </x:row>
    <x:row r="77" ht="44" customHeight="1">
      <x:c r="A77" s="80" t="str">
        <x:v>T-111</x:v>
      </x:c>
      <x:c r="B77" s="80" t="str">
        <x:v>P1</x:v>
      </x:c>
      <x:c r="C77" s="80" t="str">
        <x:v>P1 후속 로드맵</x:v>
      </x:c>
      <x:c r="D77" s="80" t="str">
        <x:v>P1 통합 검수</x:v>
      </x:c>
      <x:c r="E77" s="80" t="str">
        <x:v>P1 기능을 P0 흐름과 통합하고 운영·반응형·성능·관리자 권한·본인 프로필 회귀 테스트를 수행한다.</x:v>
      </x:c>
      <x:c r="F77" s="80" t="str">
        <x:v>FR-035~FR-037, FR-040~FR-041, NFR-008, NFR-016, NFR-018</x:v>
      </x:c>
      <x:c r="G77" s="80" t="str">
        <x:v>PM·기술 통합</x:v>
      </x:c>
      <x:c r="H77" s="80" t="str">
        <x:v>윤승혁</x:v>
      </x:c>
      <x:c r="I77" s="80" t="str">
        <x:v>전 팀원</x:v>
      </x:c>
      <x:c r="J77" s="80" t="str">
        <x:v>T-101~T-110</x:v>
      </x:c>
      <x:c r="K77" s="88" t="n">
        <x:v>46274</x:v>
      </x:c>
      <x:c r="L77" s="88" t="n">
        <x:v>46274</x:v>
      </x:c>
      <x:c r="M77" s="91" t="n">
        <x:v>0.5</x:v>
      </x:c>
      <x:c r="N77" s="80" t="str">
        <x:v>미착수</x:v>
      </x:c>
      <x:c r="O77" s="94" t="n">
        <x:v>0</x:v>
      </x:c>
      <x:c r="P77" s="80"/>
      <x:c r="Q77" s="80" t="str">
        <x:v>P0 회귀 없이 P1 운영·권한·프로필 주요 기능이 정상 동작함</x:v>
      </x:c>
      <x:c r="R77" s="80" t="str">
        <x:v>요구사항정의서 P1 · 화면설계서 ADMIN-01·MY-01</x:v>
      </x:c>
    </x:row>
  </x:sheetData>
  <x:mergeCells>
    <x:mergeCell ref="A1:R1"/>
    <x:mergeCell ref="A2:R2"/>
  </x:mergeCells>
  <x:conditionalFormatting sqref="B5:B69">
    <x:cfRule type="expression" dxfId="5" priority="5">
      <x:formula>B5="P0"</x:formula>
    </x:cfRule>
    <x:cfRule type="expression" dxfId="4" priority="6">
      <x:formula>B5="P1"</x:formula>
    </x:cfRule>
  </x:conditionalFormatting>
  <x:conditionalFormatting sqref="N5:N69">
    <x:cfRule type="expression" dxfId="3" priority="1">
      <x:formula>N5="완료"</x:formula>
    </x:cfRule>
    <x:cfRule type="expression" dxfId="2" priority="2">
      <x:formula>N5="진행 중"</x:formula>
    </x:cfRule>
    <x:cfRule type="expression" dxfId="1" priority="3">
      <x:formula>N5="보류"</x:formula>
    </x:cfRule>
    <x:cfRule type="expression" dxfId="0" priority="4">
      <x:formula>N5="차단"</x:formula>
    </x:cfRule>
  </x:conditionalFormatting>
  <x:conditionalFormatting sqref="O5:O69">
    <x:cfRule type="dataBar" priority="7">
      <x:dataBar>
        <x:cfvo type="min"/>
        <x:cfvo type="max"/>
        <x:color rgb="FF5B9BD5"/>
      </x:dataBar>
    </x:cfRule>
    <x:cfRule type="dataBar" priority="8">
      <x:dataBar>
        <x:cfvo type="min"/>
        <x:cfvo type="max"/>
        <x:color rgb="FF5B9BD5"/>
      </x:dataBar>
      <x:extLst>
        <x:ext xmlns:x14="http://schemas.microsoft.com/office/spreadsheetml/2009/9/main" uri="{B025F937-C7B1-47D3-B67F-A62EFF666E3E}">
          <x14:id>{9246927F-98B5-AFB3-8105-A41B6828E38C}</x14:id>
        </x:ext>
      </x:extLst>
    </x:cfRule>
  </x:conditionalFormatting>
  <x:dataValidations count="4">
    <x:dataValidation type="list" sqref="B5:B77">
      <x:formula1>"P0,P1"</x:formula1>
    </x:dataValidation>
    <x:dataValidation type="list" sqref="G5:G77">
      <x:formula1>코드목록!$C$2:$C$7</x:formula1>
    </x:dataValidation>
    <x:dataValidation type="list" sqref="H5:H77">
      <x:formula1>코드목록!$D$2:$D$7</x:formula1>
    </x:dataValidation>
    <x:dataValidation type="list" sqref="N5:N77">
      <x:formula1>코드목록!$A$2:$A$6</x:formula1>
    </x:dataValidation>
  </x:dataValidations>
  <x:pageMargins left="0.7" right="0.7" top="0.75" bottom="0.75" header="0.3" footer="0.3"/>
  <x:tableParts count="1">
    <x:tablePart xmlns:r="http://schemas.openxmlformats.org/officeDocument/2006/relationships" r:id="R725f06e12eed46dc"/>
  </x:tableParts>
  <x:extLst>
    <x:ext xmlns:x14="http://schemas.microsoft.com/office/spreadsheetml/2009/9/main" xmlns:xm="http://schemas.microsoft.com/office/excel/2006/main" uri="{78C0D931-6437-407d-A8EE-F0AAD7539E65}">
      <x14:conditionalFormattings>
        <x14:conditionalFormatting>
          <x14:cfRule type="dataBar" priority="8" id="{9246927F-98B5-AFB3-8105-A41B6828E38C}">
            <x14:dataBar>
              <x14:cfvo type="min"/>
              <x14:cfvo type="max"/>
              <x14:fillColor rgb="FF5B9BD5"/>
              <x14:negativeFillColor auto="1"/>
              <x14:axisColor auto="1"/>
            </x14:dataBar>
          </x14:cfRule>
          <xm:sqref>O5:O69</xm:sqref>
        </x14:conditionalFormatting>
      </x14:conditionalFormattings>
    </x:ext>
  </x:extLst>
</x:worksheet>
</file>

<file path=xl/worksheets/sheet3.xml><?xml version="1.0" encoding="utf-8"?>
<x:worksheet xmlns:x="http://schemas.openxmlformats.org/spreadsheetml/2006/main">
  <x:sheetFormatPr defaultRowHeight="14"/>
  <x:cols>
    <x:col min="1" max="1" width="11" customWidth="1"/>
    <x:col min="2" max="2" width="8" customWidth="1"/>
    <x:col min="3" max="3" width="24" customWidth="1"/>
    <x:col min="4" max="4" width="22" customWidth="1"/>
    <x:col min="5" max="5" width="12" customWidth="1"/>
    <x:col min="6" max="6" width="11" customWidth="1"/>
    <x:col min="7" max="8" width="12" customWidth="1"/>
    <x:col min="9" max="63" width="4" customWidth="1"/>
  </x:cols>
  <x:sheetData>
    <x:row r="1" ht="20" customHeight="1">
      <x:c r="A1" s="32" t="str">
        <x:v>WBS 갠트차트 v2.0 — P0 일정 및 P1 후속 로드맵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c r="AP1" s="32"/>
      <x:c r="AQ1" s="32"/>
      <x:c r="AR1" s="32"/>
      <x:c r="AS1" s="32"/>
      <x:c r="AT1" s="32"/>
      <x:c r="AU1" s="32"/>
      <x:c r="AV1" s="32"/>
      <x:c r="AW1" s="32"/>
      <x:c r="AX1" s="32"/>
      <x:c r="AY1" s="32"/>
      <x:c r="AZ1" s="32"/>
      <x:c r="BA1" s="32"/>
      <x:c r="BB1" s="32"/>
      <x:c r="BC1" s="32"/>
      <x:c r="BD1" s="32"/>
      <x:c r="BE1" s="32"/>
      <x:c r="BF1" s="32"/>
      <x:c r="BG1" s="32"/>
      <x:c r="BH1" s="32"/>
      <x:c r="BI1" s="32"/>
      <x:c r="BJ1" s="32"/>
      <x:c r="BK1" s="32"/>
    </x:row>
    <x:row r="3" ht="21.5">
      <x:c r="BE3" s="20" t="s">
        <x:v>9</x:v>
      </x:c>
    </x:row>
    <x:row r="4" ht="22.649999618530273" customHeight="1">
      <x:c r="A4" s="13" t="s">
        <x:v>82</x:v>
      </x:c>
      <x:c r="B4" s="13" t="s">
        <x:v>83</x:v>
      </x:c>
      <x:c r="C4" s="13" t="s">
        <x:v>85</x:v>
      </x:c>
      <x:c r="D4" s="13" t="s">
        <x:v>25</x:v>
      </x:c>
      <x:c r="E4" s="13" t="s">
        <x:v>88</x:v>
      </x:c>
      <x:c r="F4" s="13" t="s">
        <x:v>28</x:v>
      </x:c>
      <x:c r="G4" s="13" t="s">
        <x:v>91</x:v>
      </x:c>
      <x:c r="H4" s="13" t="s">
        <x:v>92</x:v>
      </x:c>
      <x:c r="I4" s="14">
        <x:v>46220</x:v>
      </x:c>
      <x:c r="J4" s="19">
        <x:v>46221</x:v>
      </x:c>
      <x:c r="K4" s="19">
        <x:v>46222</x:v>
      </x:c>
      <x:c r="L4" s="14">
        <x:v>46223</x:v>
      </x:c>
      <x:c r="M4" s="14">
        <x:v>46224</x:v>
      </x:c>
      <x:c r="N4" s="14">
        <x:v>46225</x:v>
      </x:c>
      <x:c r="O4" s="15">
        <x:v>46226</x:v>
      </x:c>
      <x:c r="P4" s="14">
        <x:v>46227</x:v>
      </x:c>
      <x:c r="Q4" s="19">
        <x:v>46228</x:v>
      </x:c>
      <x:c r="R4" s="19">
        <x:v>46229</x:v>
      </x:c>
      <x:c r="S4" s="14">
        <x:v>46230</x:v>
      </x:c>
      <x:c r="T4" s="14">
        <x:v>46231</x:v>
      </x:c>
      <x:c r="U4" s="14">
        <x:v>46232</x:v>
      </x:c>
      <x:c r="V4" s="14">
        <x:v>46233</x:v>
      </x:c>
      <x:c r="W4" s="14">
        <x:v>46234</x:v>
      </x:c>
      <x:c r="X4" s="19">
        <x:v>46235</x:v>
      </x:c>
      <x:c r="Y4" s="19">
        <x:v>46236</x:v>
      </x:c>
      <x:c r="Z4" s="14">
        <x:v>46237</x:v>
      </x:c>
      <x:c r="AA4" s="14">
        <x:v>46238</x:v>
      </x:c>
      <x:c r="AB4" s="14">
        <x:v>46239</x:v>
      </x:c>
      <x:c r="AC4" s="14">
        <x:v>46240</x:v>
      </x:c>
      <x:c r="AD4" s="14">
        <x:v>46241</x:v>
      </x:c>
      <x:c r="AE4" s="19">
        <x:v>46242</x:v>
      </x:c>
      <x:c r="AF4" s="19">
        <x:v>46243</x:v>
      </x:c>
      <x:c r="AG4" s="14">
        <x:v>46244</x:v>
      </x:c>
      <x:c r="AH4" s="14">
        <x:v>46245</x:v>
      </x:c>
      <x:c r="AI4" s="14">
        <x:v>46246</x:v>
      </x:c>
      <x:c r="AJ4" s="14">
        <x:v>46247</x:v>
      </x:c>
      <x:c r="AK4" s="14">
        <x:v>46248</x:v>
      </x:c>
      <x:c r="AL4" s="19">
        <x:v>46249</x:v>
      </x:c>
      <x:c r="AM4" s="19">
        <x:v>46250</x:v>
      </x:c>
      <x:c r="AN4" s="14">
        <x:v>46251</x:v>
      </x:c>
      <x:c r="AO4" s="14">
        <x:v>46252</x:v>
      </x:c>
      <x:c r="AP4" s="14">
        <x:v>46253</x:v>
      </x:c>
      <x:c r="AQ4" s="14">
        <x:v>46254</x:v>
      </x:c>
      <x:c r="AR4" s="14">
        <x:v>46255</x:v>
      </x:c>
      <x:c r="AS4" s="19">
        <x:v>46256</x:v>
      </x:c>
      <x:c r="AT4" s="19">
        <x:v>46257</x:v>
      </x:c>
      <x:c r="AU4" s="14">
        <x:v>46258</x:v>
      </x:c>
      <x:c r="AV4" s="14">
        <x:v>46259</x:v>
      </x:c>
      <x:c r="AW4" s="14">
        <x:v>46260</x:v>
      </x:c>
      <x:c r="AX4" s="14">
        <x:v>46261</x:v>
      </x:c>
      <x:c r="AY4" s="14">
        <x:v>46262</x:v>
      </x:c>
      <x:c r="AZ4" s="19">
        <x:v>46263</x:v>
      </x:c>
      <x:c r="BA4" s="19">
        <x:v>46264</x:v>
      </x:c>
      <x:c r="BB4" s="14">
        <x:v>46265</x:v>
      </x:c>
      <x:c r="BC4" s="14">
        <x:v>46266</x:v>
      </x:c>
      <x:c r="BD4" s="14">
        <x:v>46267</x:v>
      </x:c>
      <x:c r="BE4" s="21">
        <x:v>46268</x:v>
      </x:c>
      <x:c r="BF4" s="14">
        <x:v>46269</x:v>
      </x:c>
      <x:c r="BG4" s="19">
        <x:v>46270</x:v>
      </x:c>
      <x:c r="BH4" s="19">
        <x:v>46271</x:v>
      </x:c>
      <x:c r="BI4" s="14">
        <x:v>46272</x:v>
      </x:c>
      <x:c r="BJ4" s="14">
        <x:v>46273</x:v>
      </x:c>
      <x:c r="BK4" s="14">
        <x:v>46274</x:v>
      </x:c>
    </x:row>
    <x:row r="5" ht="18" customHeight="1">
      <x:c r="A5" s="101" t="str">
        <x:v>T-001</x:v>
      </x:c>
      <x:c r="B5" s="101" t="str">
        <x:v>P0</x:v>
      </x:c>
      <x:c r="C5" s="101" t="str">
        <x:v>기획 및 설계</x:v>
      </x:c>
      <x:c r="D5" s="101" t="str">
        <x:v>PM·기술 통합</x:v>
      </x:c>
      <x:c r="E5" s="101" t="str">
        <x:v>윤승혁</x:v>
      </x:c>
      <x:c r="F5" s="101" t="str">
        <x:v>완료</x:v>
      </x:c>
      <x:c r="G5" s="97" t="n">
        <x:v>46220</x:v>
      </x:c>
      <x:c r="H5" s="97" t="n">
        <x:v>46220</x:v>
      </x:c>
      <x:c r="I5" s="122"/>
      <x:c r="J5" s="120"/>
      <x:c r="K5" s="120"/>
      <x:c r="L5" s="118"/>
      <x:c r="M5" s="118"/>
      <x:c r="N5" s="118"/>
      <x:c r="O5" s="118"/>
      <x:c r="P5" s="118"/>
      <x:c r="Q5" s="120"/>
      <x:c r="R5" s="120"/>
      <x:c r="S5" s="118"/>
      <x:c r="T5" s="118"/>
      <x:c r="U5" s="118"/>
      <x:c r="V5" s="118"/>
      <x:c r="W5" s="118"/>
      <x:c r="X5" s="120"/>
      <x:c r="Y5" s="120"/>
      <x:c r="Z5" s="118"/>
      <x:c r="AA5" s="118"/>
      <x:c r="AB5" s="118"/>
      <x:c r="AC5" s="118"/>
      <x:c r="AD5" s="118"/>
      <x:c r="AE5" s="120"/>
      <x:c r="AF5" s="120"/>
      <x:c r="AG5" s="118"/>
      <x:c r="AH5" s="118"/>
      <x:c r="AI5" s="118"/>
      <x:c r="AJ5" s="118"/>
      <x:c r="AK5" s="118"/>
      <x:c r="AL5" s="120"/>
      <x:c r="AM5" s="120"/>
      <x:c r="AN5" s="118"/>
      <x:c r="AO5" s="118"/>
      <x:c r="AP5" s="118"/>
      <x:c r="AQ5" s="118"/>
      <x:c r="AR5" s="118"/>
      <x:c r="AS5" s="120"/>
      <x:c r="AT5" s="120"/>
      <x:c r="AU5" s="118"/>
      <x:c r="AV5" s="118"/>
      <x:c r="AW5" s="118"/>
      <x:c r="AX5" s="118"/>
      <x:c r="AY5" s="118"/>
      <x:c r="AZ5" s="120"/>
      <x:c r="BA5" s="120"/>
      <x:c r="BB5" s="118"/>
      <x:c r="BC5" s="118"/>
      <x:c r="BD5" s="118"/>
      <x:c r="BE5" s="118"/>
      <x:c r="BF5" s="118"/>
      <x:c r="BG5" s="120"/>
      <x:c r="BH5" s="120"/>
      <x:c r="BI5" s="118"/>
      <x:c r="BJ5" s="118"/>
      <x:c r="BK5" s="118"/>
    </x:row>
    <x:row r="6" ht="18" customHeight="1">
      <x:c r="A6" s="101" t="str">
        <x:v>T-002</x:v>
      </x:c>
      <x:c r="B6" s="101" t="str">
        <x:v>P0</x:v>
      </x:c>
      <x:c r="C6" s="101" t="str">
        <x:v>기획 및 설계</x:v>
      </x:c>
      <x:c r="D6" s="101" t="str">
        <x:v>PM·기술 통합</x:v>
      </x:c>
      <x:c r="E6" s="101" t="str">
        <x:v>윤승혁</x:v>
      </x:c>
      <x:c r="F6" s="101" t="str">
        <x:v>완료</x:v>
      </x:c>
      <x:c r="G6" s="97" t="n">
        <x:v>46224</x:v>
      </x:c>
      <x:c r="H6" s="97" t="n">
        <x:v>46224</x:v>
      </x:c>
      <x:c r="I6" s="118"/>
      <x:c r="J6" s="120"/>
      <x:c r="K6" s="120"/>
      <x:c r="L6" s="118"/>
      <x:c r="M6" s="122"/>
      <x:c r="N6" s="118"/>
      <x:c r="O6" s="118"/>
      <x:c r="P6" s="118"/>
      <x:c r="Q6" s="120"/>
      <x:c r="R6" s="120"/>
      <x:c r="S6" s="118"/>
      <x:c r="T6" s="118"/>
      <x:c r="U6" s="118"/>
      <x:c r="V6" s="118"/>
      <x:c r="W6" s="118"/>
      <x:c r="X6" s="120"/>
      <x:c r="Y6" s="120"/>
      <x:c r="Z6" s="118"/>
      <x:c r="AA6" s="118"/>
      <x:c r="AB6" s="118"/>
      <x:c r="AC6" s="118"/>
      <x:c r="AD6" s="118"/>
      <x:c r="AE6" s="120"/>
      <x:c r="AF6" s="120"/>
      <x:c r="AG6" s="118"/>
      <x:c r="AH6" s="118"/>
      <x:c r="AI6" s="118"/>
      <x:c r="AJ6" s="118"/>
      <x:c r="AK6" s="118"/>
      <x:c r="AL6" s="120"/>
      <x:c r="AM6" s="120"/>
      <x:c r="AN6" s="118"/>
      <x:c r="AO6" s="118"/>
      <x:c r="AP6" s="118"/>
      <x:c r="AQ6" s="118"/>
      <x:c r="AR6" s="118"/>
      <x:c r="AS6" s="120"/>
      <x:c r="AT6" s="120"/>
      <x:c r="AU6" s="118"/>
      <x:c r="AV6" s="118"/>
      <x:c r="AW6" s="118"/>
      <x:c r="AX6" s="118"/>
      <x:c r="AY6" s="118"/>
      <x:c r="AZ6" s="120"/>
      <x:c r="BA6" s="120"/>
      <x:c r="BB6" s="118"/>
      <x:c r="BC6" s="118"/>
      <x:c r="BD6" s="118"/>
      <x:c r="BE6" s="118"/>
      <x:c r="BF6" s="118"/>
      <x:c r="BG6" s="120"/>
      <x:c r="BH6" s="120"/>
      <x:c r="BI6" s="118"/>
      <x:c r="BJ6" s="118"/>
      <x:c r="BK6" s="118"/>
    </x:row>
    <x:row r="7" ht="18" customHeight="1">
      <x:c r="A7" s="101" t="str">
        <x:v>T-003</x:v>
      </x:c>
      <x:c r="B7" s="101" t="str">
        <x:v>P0</x:v>
      </x:c>
      <x:c r="C7" s="101" t="str">
        <x:v>기획 및 설계</x:v>
      </x:c>
      <x:c r="D7" s="101" t="str">
        <x:v>PM·기술 통합</x:v>
      </x:c>
      <x:c r="E7" s="101" t="str">
        <x:v>윤승혁</x:v>
      </x:c>
      <x:c r="F7" s="101" t="str">
        <x:v>완료</x:v>
      </x:c>
      <x:c r="G7" s="97" t="n">
        <x:v>46224</x:v>
      </x:c>
      <x:c r="H7" s="97" t="n">
        <x:v>46225</x:v>
      </x:c>
      <x:c r="I7" s="118"/>
      <x:c r="J7" s="120"/>
      <x:c r="K7" s="120"/>
      <x:c r="L7" s="118"/>
      <x:c r="M7" s="122"/>
      <x:c r="N7" s="122"/>
      <x:c r="O7" s="118"/>
      <x:c r="P7" s="118"/>
      <x:c r="Q7" s="120"/>
      <x:c r="R7" s="120"/>
      <x:c r="S7" s="118"/>
      <x:c r="T7" s="118"/>
      <x:c r="U7" s="118"/>
      <x:c r="V7" s="118"/>
      <x:c r="W7" s="118"/>
      <x:c r="X7" s="120"/>
      <x:c r="Y7" s="120"/>
      <x:c r="Z7" s="118"/>
      <x:c r="AA7" s="118"/>
      <x:c r="AB7" s="118"/>
      <x:c r="AC7" s="118"/>
      <x:c r="AD7" s="118"/>
      <x:c r="AE7" s="120"/>
      <x:c r="AF7" s="120"/>
      <x:c r="AG7" s="118"/>
      <x:c r="AH7" s="118"/>
      <x:c r="AI7" s="118"/>
      <x:c r="AJ7" s="118"/>
      <x:c r="AK7" s="118"/>
      <x:c r="AL7" s="120"/>
      <x:c r="AM7" s="120"/>
      <x:c r="AN7" s="118"/>
      <x:c r="AO7" s="118"/>
      <x:c r="AP7" s="118"/>
      <x:c r="AQ7" s="118"/>
      <x:c r="AR7" s="118"/>
      <x:c r="AS7" s="120"/>
      <x:c r="AT7" s="120"/>
      <x:c r="AU7" s="118"/>
      <x:c r="AV7" s="118"/>
      <x:c r="AW7" s="118"/>
      <x:c r="AX7" s="118"/>
      <x:c r="AY7" s="118"/>
      <x:c r="AZ7" s="120"/>
      <x:c r="BA7" s="120"/>
      <x:c r="BB7" s="118"/>
      <x:c r="BC7" s="118"/>
      <x:c r="BD7" s="118"/>
      <x:c r="BE7" s="118"/>
      <x:c r="BF7" s="118"/>
      <x:c r="BG7" s="120"/>
      <x:c r="BH7" s="120"/>
      <x:c r="BI7" s="118"/>
      <x:c r="BJ7" s="118"/>
      <x:c r="BK7" s="118"/>
    </x:row>
    <x:row r="8" ht="18" customHeight="1">
      <x:c r="A8" s="101" t="str">
        <x:v>T-004</x:v>
      </x:c>
      <x:c r="B8" s="101" t="str">
        <x:v>P0</x:v>
      </x:c>
      <x:c r="C8" s="101" t="str">
        <x:v>기획 및 설계</x:v>
      </x:c>
      <x:c r="D8" s="101" t="str">
        <x:v>PM·기술 통합</x:v>
      </x:c>
      <x:c r="E8" s="101" t="str">
        <x:v>윤승혁</x:v>
      </x:c>
      <x:c r="F8" s="101" t="str">
        <x:v>완료</x:v>
      </x:c>
      <x:c r="G8" s="97" t="n">
        <x:v>46223</x:v>
      </x:c>
      <x:c r="H8" s="97" t="n">
        <x:v>46224</x:v>
      </x:c>
      <x:c r="I8" s="118"/>
      <x:c r="J8" s="120"/>
      <x:c r="K8" s="120"/>
      <x:c r="L8" s="122"/>
      <x:c r="M8" s="122"/>
      <x:c r="N8" s="118"/>
      <x:c r="O8" s="118"/>
      <x:c r="P8" s="118"/>
      <x:c r="Q8" s="120"/>
      <x:c r="R8" s="120"/>
      <x:c r="S8" s="118"/>
      <x:c r="T8" s="118"/>
      <x:c r="U8" s="118"/>
      <x:c r="V8" s="118"/>
      <x:c r="W8" s="118"/>
      <x:c r="X8" s="120"/>
      <x:c r="Y8" s="120"/>
      <x:c r="Z8" s="118"/>
      <x:c r="AA8" s="118"/>
      <x:c r="AB8" s="118"/>
      <x:c r="AC8" s="118"/>
      <x:c r="AD8" s="118"/>
      <x:c r="AE8" s="120"/>
      <x:c r="AF8" s="120"/>
      <x:c r="AG8" s="118"/>
      <x:c r="AH8" s="118"/>
      <x:c r="AI8" s="118"/>
      <x:c r="AJ8" s="118"/>
      <x:c r="AK8" s="118"/>
      <x:c r="AL8" s="120"/>
      <x:c r="AM8" s="120"/>
      <x:c r="AN8" s="118"/>
      <x:c r="AO8" s="118"/>
      <x:c r="AP8" s="118"/>
      <x:c r="AQ8" s="118"/>
      <x:c r="AR8" s="118"/>
      <x:c r="AS8" s="120"/>
      <x:c r="AT8" s="120"/>
      <x:c r="AU8" s="118"/>
      <x:c r="AV8" s="118"/>
      <x:c r="AW8" s="118"/>
      <x:c r="AX8" s="118"/>
      <x:c r="AY8" s="118"/>
      <x:c r="AZ8" s="120"/>
      <x:c r="BA8" s="120"/>
      <x:c r="BB8" s="118"/>
      <x:c r="BC8" s="118"/>
      <x:c r="BD8" s="118"/>
      <x:c r="BE8" s="118"/>
      <x:c r="BF8" s="118"/>
      <x:c r="BG8" s="120"/>
      <x:c r="BH8" s="120"/>
      <x:c r="BI8" s="118"/>
      <x:c r="BJ8" s="118"/>
      <x:c r="BK8" s="118"/>
    </x:row>
    <x:row r="9" ht="18" customHeight="1">
      <x:c r="A9" s="101" t="str">
        <x:v>T-005</x:v>
      </x:c>
      <x:c r="B9" s="101" t="str">
        <x:v>P0</x:v>
      </x:c>
      <x:c r="C9" s="101" t="str">
        <x:v>데이터 설계</x:v>
      </x:c>
      <x:c r="D9" s="101" t="str">
        <x:v>백엔드·데이터베이스</x:v>
      </x:c>
      <x:c r="E9" s="101" t="str">
        <x:v>최지용</x:v>
      </x:c>
      <x:c r="F9" s="101" t="str">
        <x:v>진행 중</x:v>
      </x:c>
      <x:c r="G9" s="97" t="n">
        <x:v>46225</x:v>
      </x:c>
      <x:c r="H9" s="97" t="n">
        <x:v>46226</x:v>
      </x:c>
      <x:c r="I9" s="118"/>
      <x:c r="J9" s="120"/>
      <x:c r="K9" s="120"/>
      <x:c r="L9" s="118"/>
      <x:c r="M9" s="118"/>
      <x:c r="N9" s="122"/>
      <x:c r="O9" s="122"/>
      <x:c r="P9" s="118"/>
      <x:c r="Q9" s="120"/>
      <x:c r="R9" s="120"/>
      <x:c r="S9" s="118"/>
      <x:c r="T9" s="118"/>
      <x:c r="U9" s="118"/>
      <x:c r="V9" s="118"/>
      <x:c r="W9" s="118"/>
      <x:c r="X9" s="120"/>
      <x:c r="Y9" s="120"/>
      <x:c r="Z9" s="118"/>
      <x:c r="AA9" s="118"/>
      <x:c r="AB9" s="118"/>
      <x:c r="AC9" s="118"/>
      <x:c r="AD9" s="118"/>
      <x:c r="AE9" s="120"/>
      <x:c r="AF9" s="120"/>
      <x:c r="AG9" s="118"/>
      <x:c r="AH9" s="118"/>
      <x:c r="AI9" s="118"/>
      <x:c r="AJ9" s="118"/>
      <x:c r="AK9" s="118"/>
      <x:c r="AL9" s="120"/>
      <x:c r="AM9" s="120"/>
      <x:c r="AN9" s="118"/>
      <x:c r="AO9" s="118"/>
      <x:c r="AP9" s="118"/>
      <x:c r="AQ9" s="118"/>
      <x:c r="AR9" s="118"/>
      <x:c r="AS9" s="120"/>
      <x:c r="AT9" s="120"/>
      <x:c r="AU9" s="118"/>
      <x:c r="AV9" s="118"/>
      <x:c r="AW9" s="118"/>
      <x:c r="AX9" s="118"/>
      <x:c r="AY9" s="118"/>
      <x:c r="AZ9" s="120"/>
      <x:c r="BA9" s="120"/>
      <x:c r="BB9" s="118"/>
      <x:c r="BC9" s="118"/>
      <x:c r="BD9" s="118"/>
      <x:c r="BE9" s="118"/>
      <x:c r="BF9" s="118"/>
      <x:c r="BG9" s="120"/>
      <x:c r="BH9" s="120"/>
      <x:c r="BI9" s="118"/>
      <x:c r="BJ9" s="118"/>
      <x:c r="BK9" s="118"/>
    </x:row>
    <x:row r="10" ht="18" customHeight="1">
      <x:c r="A10" s="101" t="str">
        <x:v>T-006</x:v>
      </x:c>
      <x:c r="B10" s="101" t="str">
        <x:v>P0</x:v>
      </x:c>
      <x:c r="C10" s="101" t="str">
        <x:v>AI·Agent 설계</x:v>
      </x:c>
      <x:c r="D10" s="101" t="str">
        <x:v>AI·RAG</x:v>
      </x:c>
      <x:c r="E10" s="101" t="str">
        <x:v>이동윤</x:v>
      </x:c>
      <x:c r="F10" s="101" t="str">
        <x:v>진행 중</x:v>
      </x:c>
      <x:c r="G10" s="97" t="n">
        <x:v>46225</x:v>
      </x:c>
      <x:c r="H10" s="97" t="n">
        <x:v>46226</x:v>
      </x:c>
      <x:c r="I10" s="118"/>
      <x:c r="J10" s="120"/>
      <x:c r="K10" s="120"/>
      <x:c r="L10" s="118"/>
      <x:c r="M10" s="118"/>
      <x:c r="N10" s="122"/>
      <x:c r="O10" s="122"/>
      <x:c r="P10" s="118"/>
      <x:c r="Q10" s="120"/>
      <x:c r="R10" s="120"/>
      <x:c r="S10" s="118"/>
      <x:c r="T10" s="118"/>
      <x:c r="U10" s="118"/>
      <x:c r="V10" s="118"/>
      <x:c r="W10" s="118"/>
      <x:c r="X10" s="120"/>
      <x:c r="Y10" s="120"/>
      <x:c r="Z10" s="118"/>
      <x:c r="AA10" s="118"/>
      <x:c r="AB10" s="118"/>
      <x:c r="AC10" s="118"/>
      <x:c r="AD10" s="118"/>
      <x:c r="AE10" s="120"/>
      <x:c r="AF10" s="120"/>
      <x:c r="AG10" s="118"/>
      <x:c r="AH10" s="118"/>
      <x:c r="AI10" s="118"/>
      <x:c r="AJ10" s="118"/>
      <x:c r="AK10" s="118"/>
      <x:c r="AL10" s="120"/>
      <x:c r="AM10" s="120"/>
      <x:c r="AN10" s="118"/>
      <x:c r="AO10" s="118"/>
      <x:c r="AP10" s="118"/>
      <x:c r="AQ10" s="118"/>
      <x:c r="AR10" s="118"/>
      <x:c r="AS10" s="120"/>
      <x:c r="AT10" s="120"/>
      <x:c r="AU10" s="118"/>
      <x:c r="AV10" s="118"/>
      <x:c r="AW10" s="118"/>
      <x:c r="AX10" s="118"/>
      <x:c r="AY10" s="118"/>
      <x:c r="AZ10" s="120"/>
      <x:c r="BA10" s="120"/>
      <x:c r="BB10" s="118"/>
      <x:c r="BC10" s="118"/>
      <x:c r="BD10" s="118"/>
      <x:c r="BE10" s="118"/>
      <x:c r="BF10" s="118"/>
      <x:c r="BG10" s="120"/>
      <x:c r="BH10" s="120"/>
      <x:c r="BI10" s="118"/>
      <x:c r="BJ10" s="118"/>
      <x:c r="BK10" s="118"/>
    </x:row>
    <x:row r="11" ht="18" customHeight="1">
      <x:c r="A11" s="101" t="str">
        <x:v>T-007</x:v>
      </x:c>
      <x:c r="B11" s="101" t="str">
        <x:v>P0</x:v>
      </x:c>
      <x:c r="C11" s="101" t="str">
        <x:v>품질 및 테스트 설계</x:v>
      </x:c>
      <x:c r="D11" s="101" t="str">
        <x:v>데이터·QA·DevOps</x:v>
      </x:c>
      <x:c r="E11" s="101" t="str">
        <x:v>김은진</x:v>
      </x:c>
      <x:c r="F11" s="101" t="str">
        <x:v>진행 중</x:v>
      </x:c>
      <x:c r="G11" s="97" t="n">
        <x:v>46226</x:v>
      </x:c>
      <x:c r="H11" s="97" t="n">
        <x:v>46227</x:v>
      </x:c>
      <x:c r="I11" s="118"/>
      <x:c r="J11" s="120"/>
      <x:c r="K11" s="120"/>
      <x:c r="L11" s="118"/>
      <x:c r="M11" s="118"/>
      <x:c r="N11" s="118"/>
      <x:c r="O11" s="122"/>
      <x:c r="P11" s="122"/>
      <x:c r="Q11" s="120"/>
      <x:c r="R11" s="120"/>
      <x:c r="S11" s="118"/>
      <x:c r="T11" s="118"/>
      <x:c r="U11" s="118"/>
      <x:c r="V11" s="118"/>
      <x:c r="W11" s="118"/>
      <x:c r="X11" s="120"/>
      <x:c r="Y11" s="120"/>
      <x:c r="Z11" s="118"/>
      <x:c r="AA11" s="118"/>
      <x:c r="AB11" s="118"/>
      <x:c r="AC11" s="118"/>
      <x:c r="AD11" s="118"/>
      <x:c r="AE11" s="120"/>
      <x:c r="AF11" s="120"/>
      <x:c r="AG11" s="118"/>
      <x:c r="AH11" s="118"/>
      <x:c r="AI11" s="118"/>
      <x:c r="AJ11" s="118"/>
      <x:c r="AK11" s="118"/>
      <x:c r="AL11" s="120"/>
      <x:c r="AM11" s="120"/>
      <x:c r="AN11" s="118"/>
      <x:c r="AO11" s="118"/>
      <x:c r="AP11" s="118"/>
      <x:c r="AQ11" s="118"/>
      <x:c r="AR11" s="118"/>
      <x:c r="AS11" s="120"/>
      <x:c r="AT11" s="120"/>
      <x:c r="AU11" s="118"/>
      <x:c r="AV11" s="118"/>
      <x:c r="AW11" s="118"/>
      <x:c r="AX11" s="118"/>
      <x:c r="AY11" s="118"/>
      <x:c r="AZ11" s="120"/>
      <x:c r="BA11" s="120"/>
      <x:c r="BB11" s="118"/>
      <x:c r="BC11" s="118"/>
      <x:c r="BD11" s="118"/>
      <x:c r="BE11" s="118"/>
      <x:c r="BF11" s="118"/>
      <x:c r="BG11" s="120"/>
      <x:c r="BH11" s="120"/>
      <x:c r="BI11" s="118"/>
      <x:c r="BJ11" s="118"/>
      <x:c r="BK11" s="118"/>
    </x:row>
    <x:row r="12" ht="18" customHeight="1">
      <x:c r="A12" s="101" t="str">
        <x:v>T-008</x:v>
      </x:c>
      <x:c r="B12" s="101" t="str">
        <x:v>P0</x:v>
      </x:c>
      <x:c r="C12" s="101" t="str">
        <x:v>데이터 수집</x:v>
      </x:c>
      <x:c r="D12" s="101" t="str">
        <x:v>데이터·QA·DevOps</x:v>
      </x:c>
      <x:c r="E12" s="101" t="str">
        <x:v>김은진</x:v>
      </x:c>
      <x:c r="F12" s="101" t="str">
        <x:v>완료</x:v>
      </x:c>
      <x:c r="G12" s="97" t="n">
        <x:v>46220</x:v>
      </x:c>
      <x:c r="H12" s="97" t="n">
        <x:v>46220</x:v>
      </x:c>
      <x:c r="I12" s="122"/>
      <x:c r="J12" s="120"/>
      <x:c r="K12" s="120"/>
      <x:c r="L12" s="118"/>
      <x:c r="M12" s="118"/>
      <x:c r="N12" s="118"/>
      <x:c r="O12" s="118"/>
      <x:c r="P12" s="118"/>
      <x:c r="Q12" s="120"/>
      <x:c r="R12" s="120"/>
      <x:c r="S12" s="118"/>
      <x:c r="T12" s="118"/>
      <x:c r="U12" s="118"/>
      <x:c r="V12" s="118"/>
      <x:c r="W12" s="118"/>
      <x:c r="X12" s="120"/>
      <x:c r="Y12" s="120"/>
      <x:c r="Z12" s="118"/>
      <x:c r="AA12" s="118"/>
      <x:c r="AB12" s="118"/>
      <x:c r="AC12" s="118"/>
      <x:c r="AD12" s="118"/>
      <x:c r="AE12" s="120"/>
      <x:c r="AF12" s="120"/>
      <x:c r="AG12" s="118"/>
      <x:c r="AH12" s="118"/>
      <x:c r="AI12" s="118"/>
      <x:c r="AJ12" s="118"/>
      <x:c r="AK12" s="118"/>
      <x:c r="AL12" s="120"/>
      <x:c r="AM12" s="120"/>
      <x:c r="AN12" s="118"/>
      <x:c r="AO12" s="118"/>
      <x:c r="AP12" s="118"/>
      <x:c r="AQ12" s="118"/>
      <x:c r="AR12" s="118"/>
      <x:c r="AS12" s="120"/>
      <x:c r="AT12" s="120"/>
      <x:c r="AU12" s="118"/>
      <x:c r="AV12" s="118"/>
      <x:c r="AW12" s="118"/>
      <x:c r="AX12" s="118"/>
      <x:c r="AY12" s="118"/>
      <x:c r="AZ12" s="120"/>
      <x:c r="BA12" s="120"/>
      <x:c r="BB12" s="118"/>
      <x:c r="BC12" s="118"/>
      <x:c r="BD12" s="118"/>
      <x:c r="BE12" s="118"/>
      <x:c r="BF12" s="118"/>
      <x:c r="BG12" s="120"/>
      <x:c r="BH12" s="120"/>
      <x:c r="BI12" s="118"/>
      <x:c r="BJ12" s="118"/>
      <x:c r="BK12" s="118"/>
    </x:row>
    <x:row r="13" ht="18" customHeight="1">
      <x:c r="A13" s="101" t="str">
        <x:v>T-009</x:v>
      </x:c>
      <x:c r="B13" s="101" t="str">
        <x:v>P0</x:v>
      </x:c>
      <x:c r="C13" s="101" t="str">
        <x:v>데이터 수집</x:v>
      </x:c>
      <x:c r="D13" s="101" t="str">
        <x:v>데이터·QA·DevOps</x:v>
      </x:c>
      <x:c r="E13" s="101" t="str">
        <x:v>김은진</x:v>
      </x:c>
      <x:c r="F13" s="101" t="str">
        <x:v>완료</x:v>
      </x:c>
      <x:c r="G13" s="97" t="n">
        <x:v>46223</x:v>
      </x:c>
      <x:c r="H13" s="97" t="n">
        <x:v>46224</x:v>
      </x:c>
      <x:c r="I13" s="118"/>
      <x:c r="J13" s="120"/>
      <x:c r="K13" s="120"/>
      <x:c r="L13" s="122"/>
      <x:c r="M13" s="122"/>
      <x:c r="N13" s="118"/>
      <x:c r="O13" s="118"/>
      <x:c r="P13" s="118"/>
      <x:c r="Q13" s="120"/>
      <x:c r="R13" s="120"/>
      <x:c r="S13" s="118"/>
      <x:c r="T13" s="118"/>
      <x:c r="U13" s="118"/>
      <x:c r="V13" s="118"/>
      <x:c r="W13" s="118"/>
      <x:c r="X13" s="120"/>
      <x:c r="Y13" s="120"/>
      <x:c r="Z13" s="118"/>
      <x:c r="AA13" s="118"/>
      <x:c r="AB13" s="118"/>
      <x:c r="AC13" s="118"/>
      <x:c r="AD13" s="118"/>
      <x:c r="AE13" s="120"/>
      <x:c r="AF13" s="120"/>
      <x:c r="AG13" s="118"/>
      <x:c r="AH13" s="118"/>
      <x:c r="AI13" s="118"/>
      <x:c r="AJ13" s="118"/>
      <x:c r="AK13" s="118"/>
      <x:c r="AL13" s="120"/>
      <x:c r="AM13" s="120"/>
      <x:c r="AN13" s="118"/>
      <x:c r="AO13" s="118"/>
      <x:c r="AP13" s="118"/>
      <x:c r="AQ13" s="118"/>
      <x:c r="AR13" s="118"/>
      <x:c r="AS13" s="120"/>
      <x:c r="AT13" s="120"/>
      <x:c r="AU13" s="118"/>
      <x:c r="AV13" s="118"/>
      <x:c r="AW13" s="118"/>
      <x:c r="AX13" s="118"/>
      <x:c r="AY13" s="118"/>
      <x:c r="AZ13" s="120"/>
      <x:c r="BA13" s="120"/>
      <x:c r="BB13" s="118"/>
      <x:c r="BC13" s="118"/>
      <x:c r="BD13" s="118"/>
      <x:c r="BE13" s="118"/>
      <x:c r="BF13" s="118"/>
      <x:c r="BG13" s="120"/>
      <x:c r="BH13" s="120"/>
      <x:c r="BI13" s="118"/>
      <x:c r="BJ13" s="118"/>
      <x:c r="BK13" s="118"/>
    </x:row>
    <x:row r="14" ht="18" customHeight="1">
      <x:c r="A14" s="101" t="str">
        <x:v>T-010</x:v>
      </x:c>
      <x:c r="B14" s="101" t="str">
        <x:v>P0</x:v>
      </x:c>
      <x:c r="C14" s="101" t="str">
        <x:v>RAG 데이터 구축</x:v>
      </x:c>
      <x:c r="D14" s="101" t="str">
        <x:v>데이터·QA·DevOps</x:v>
      </x:c>
      <x:c r="E14" s="101" t="str">
        <x:v>김은진</x:v>
      </x:c>
      <x:c r="F14" s="101" t="str">
        <x:v>완료</x:v>
      </x:c>
      <x:c r="G14" s="97" t="n">
        <x:v>46223</x:v>
      </x:c>
      <x:c r="H14" s="97" t="n">
        <x:v>46225</x:v>
      </x:c>
      <x:c r="I14" s="118"/>
      <x:c r="J14" s="120"/>
      <x:c r="K14" s="120"/>
      <x:c r="L14" s="122"/>
      <x:c r="M14" s="122"/>
      <x:c r="N14" s="122"/>
      <x:c r="O14" s="118"/>
      <x:c r="P14" s="118"/>
      <x:c r="Q14" s="120"/>
      <x:c r="R14" s="120"/>
      <x:c r="S14" s="118"/>
      <x:c r="T14" s="118"/>
      <x:c r="U14" s="118"/>
      <x:c r="V14" s="118"/>
      <x:c r="W14" s="118"/>
      <x:c r="X14" s="120"/>
      <x:c r="Y14" s="120"/>
      <x:c r="Z14" s="118"/>
      <x:c r="AA14" s="118"/>
      <x:c r="AB14" s="118"/>
      <x:c r="AC14" s="118"/>
      <x:c r="AD14" s="118"/>
      <x:c r="AE14" s="120"/>
      <x:c r="AF14" s="120"/>
      <x:c r="AG14" s="118"/>
      <x:c r="AH14" s="118"/>
      <x:c r="AI14" s="118"/>
      <x:c r="AJ14" s="118"/>
      <x:c r="AK14" s="118"/>
      <x:c r="AL14" s="120"/>
      <x:c r="AM14" s="120"/>
      <x:c r="AN14" s="118"/>
      <x:c r="AO14" s="118"/>
      <x:c r="AP14" s="118"/>
      <x:c r="AQ14" s="118"/>
      <x:c r="AR14" s="118"/>
      <x:c r="AS14" s="120"/>
      <x:c r="AT14" s="120"/>
      <x:c r="AU14" s="118"/>
      <x:c r="AV14" s="118"/>
      <x:c r="AW14" s="118"/>
      <x:c r="AX14" s="118"/>
      <x:c r="AY14" s="118"/>
      <x:c r="AZ14" s="120"/>
      <x:c r="BA14" s="120"/>
      <x:c r="BB14" s="118"/>
      <x:c r="BC14" s="118"/>
      <x:c r="BD14" s="118"/>
      <x:c r="BE14" s="118"/>
      <x:c r="BF14" s="118"/>
      <x:c r="BG14" s="120"/>
      <x:c r="BH14" s="120"/>
      <x:c r="BI14" s="118"/>
      <x:c r="BJ14" s="118"/>
      <x:c r="BK14" s="118"/>
    </x:row>
    <x:row r="15" ht="18" customHeight="1">
      <x:c r="A15" s="101" t="str">
        <x:v>T-011</x:v>
      </x:c>
      <x:c r="B15" s="101" t="str">
        <x:v>P0</x:v>
      </x:c>
      <x:c r="C15" s="101" t="str">
        <x:v>RAG 데이터 구축</x:v>
      </x:c>
      <x:c r="D15" s="101" t="str">
        <x:v>AI·RAG</x:v>
      </x:c>
      <x:c r="E15" s="101" t="str">
        <x:v>이동윤</x:v>
      </x:c>
      <x:c r="F15" s="101" t="str">
        <x:v>미착수</x:v>
      </x:c>
      <x:c r="G15" s="97" t="n">
        <x:v>46231</x:v>
      </x:c>
      <x:c r="H15" s="97" t="n">
        <x:v>46232</x:v>
      </x:c>
      <x:c r="I15" s="118"/>
      <x:c r="J15" s="120"/>
      <x:c r="K15" s="120"/>
      <x:c r="L15" s="118"/>
      <x:c r="M15" s="118"/>
      <x:c r="N15" s="118"/>
      <x:c r="O15" s="118"/>
      <x:c r="P15" s="118"/>
      <x:c r="Q15" s="120"/>
      <x:c r="R15" s="120"/>
      <x:c r="S15" s="118"/>
      <x:c r="T15" s="122"/>
      <x:c r="U15" s="122"/>
      <x:c r="V15" s="118"/>
      <x:c r="W15" s="118"/>
      <x:c r="X15" s="120"/>
      <x:c r="Y15" s="120"/>
      <x:c r="Z15" s="118"/>
      <x:c r="AA15" s="118"/>
      <x:c r="AB15" s="118"/>
      <x:c r="AC15" s="118"/>
      <x:c r="AD15" s="118"/>
      <x:c r="AE15" s="120"/>
      <x:c r="AF15" s="120"/>
      <x:c r="AG15" s="118"/>
      <x:c r="AH15" s="118"/>
      <x:c r="AI15" s="118"/>
      <x:c r="AJ15" s="118"/>
      <x:c r="AK15" s="118"/>
      <x:c r="AL15" s="120"/>
      <x:c r="AM15" s="120"/>
      <x:c r="AN15" s="118"/>
      <x:c r="AO15" s="118"/>
      <x:c r="AP15" s="118"/>
      <x:c r="AQ15" s="118"/>
      <x:c r="AR15" s="118"/>
      <x:c r="AS15" s="120"/>
      <x:c r="AT15" s="120"/>
      <x:c r="AU15" s="118"/>
      <x:c r="AV15" s="118"/>
      <x:c r="AW15" s="118"/>
      <x:c r="AX15" s="118"/>
      <x:c r="AY15" s="118"/>
      <x:c r="AZ15" s="120"/>
      <x:c r="BA15" s="120"/>
      <x:c r="BB15" s="118"/>
      <x:c r="BC15" s="118"/>
      <x:c r="BD15" s="118"/>
      <x:c r="BE15" s="118"/>
      <x:c r="BF15" s="118"/>
      <x:c r="BG15" s="120"/>
      <x:c r="BH15" s="120"/>
      <x:c r="BI15" s="118"/>
      <x:c r="BJ15" s="118"/>
      <x:c r="BK15" s="118"/>
    </x:row>
    <x:row r="16" ht="18" customHeight="1">
      <x:c r="A16" s="101" t="str">
        <x:v>T-012</x:v>
      </x:c>
      <x:c r="B16" s="101" t="str">
        <x:v>P0</x:v>
      </x:c>
      <x:c r="C16" s="101" t="str">
        <x:v>RAG 데이터 구축</x:v>
      </x:c>
      <x:c r="D16" s="101" t="str">
        <x:v>데이터·QA·DevOps</x:v>
      </x:c>
      <x:c r="E16" s="101" t="str">
        <x:v>김은진</x:v>
      </x:c>
      <x:c r="F16" s="101" t="str">
        <x:v>진행 중</x:v>
      </x:c>
      <x:c r="G16" s="97" t="n">
        <x:v>46225</x:v>
      </x:c>
      <x:c r="H16" s="97" t="n">
        <x:v>46227</x:v>
      </x:c>
      <x:c r="I16" s="118"/>
      <x:c r="J16" s="120"/>
      <x:c r="K16" s="120"/>
      <x:c r="L16" s="118"/>
      <x:c r="M16" s="118"/>
      <x:c r="N16" s="122"/>
      <x:c r="O16" s="122"/>
      <x:c r="P16" s="122"/>
      <x:c r="Q16" s="120"/>
      <x:c r="R16" s="120"/>
      <x:c r="S16" s="118"/>
      <x:c r="T16" s="118"/>
      <x:c r="U16" s="118"/>
      <x:c r="V16" s="118"/>
      <x:c r="W16" s="118"/>
      <x:c r="X16" s="120"/>
      <x:c r="Y16" s="120"/>
      <x:c r="Z16" s="118"/>
      <x:c r="AA16" s="118"/>
      <x:c r="AB16" s="118"/>
      <x:c r="AC16" s="118"/>
      <x:c r="AD16" s="118"/>
      <x:c r="AE16" s="120"/>
      <x:c r="AF16" s="120"/>
      <x:c r="AG16" s="118"/>
      <x:c r="AH16" s="118"/>
      <x:c r="AI16" s="118"/>
      <x:c r="AJ16" s="118"/>
      <x:c r="AK16" s="118"/>
      <x:c r="AL16" s="120"/>
      <x:c r="AM16" s="120"/>
      <x:c r="AN16" s="118"/>
      <x:c r="AO16" s="118"/>
      <x:c r="AP16" s="118"/>
      <x:c r="AQ16" s="118"/>
      <x:c r="AR16" s="118"/>
      <x:c r="AS16" s="120"/>
      <x:c r="AT16" s="120"/>
      <x:c r="AU16" s="118"/>
      <x:c r="AV16" s="118"/>
      <x:c r="AW16" s="118"/>
      <x:c r="AX16" s="118"/>
      <x:c r="AY16" s="118"/>
      <x:c r="AZ16" s="120"/>
      <x:c r="BA16" s="120"/>
      <x:c r="BB16" s="118"/>
      <x:c r="BC16" s="118"/>
      <x:c r="BD16" s="118"/>
      <x:c r="BE16" s="118"/>
      <x:c r="BF16" s="118"/>
      <x:c r="BG16" s="120"/>
      <x:c r="BH16" s="120"/>
      <x:c r="BI16" s="118"/>
      <x:c r="BJ16" s="118"/>
      <x:c r="BK16" s="118"/>
    </x:row>
    <x:row r="17" ht="18" customHeight="1">
      <x:c r="A17" s="101" t="str">
        <x:v>T-013</x:v>
      </x:c>
      <x:c r="B17" s="101" t="str">
        <x:v>P0</x:v>
      </x:c>
      <x:c r="C17" s="101" t="str">
        <x:v>가상 데이터 구축</x:v>
      </x:c>
      <x:c r="D17" s="101" t="str">
        <x:v>데이터·QA·DevOps</x:v>
      </x:c>
      <x:c r="E17" s="101" t="str">
        <x:v>김은진</x:v>
      </x:c>
      <x:c r="F17" s="101" t="str">
        <x:v>진행 중</x:v>
      </x:c>
      <x:c r="G17" s="97" t="n">
        <x:v>46225</x:v>
      </x:c>
      <x:c r="H17" s="97" t="n">
        <x:v>46227</x:v>
      </x:c>
      <x:c r="I17" s="118"/>
      <x:c r="J17" s="120"/>
      <x:c r="K17" s="120"/>
      <x:c r="L17" s="118"/>
      <x:c r="M17" s="118"/>
      <x:c r="N17" s="122"/>
      <x:c r="O17" s="122"/>
      <x:c r="P17" s="122"/>
      <x:c r="Q17" s="120"/>
      <x:c r="R17" s="120"/>
      <x:c r="S17" s="118"/>
      <x:c r="T17" s="118"/>
      <x:c r="U17" s="118"/>
      <x:c r="V17" s="118"/>
      <x:c r="W17" s="118"/>
      <x:c r="X17" s="120"/>
      <x:c r="Y17" s="120"/>
      <x:c r="Z17" s="118"/>
      <x:c r="AA17" s="118"/>
      <x:c r="AB17" s="118"/>
      <x:c r="AC17" s="118"/>
      <x:c r="AD17" s="118"/>
      <x:c r="AE17" s="120"/>
      <x:c r="AF17" s="120"/>
      <x:c r="AG17" s="118"/>
      <x:c r="AH17" s="118"/>
      <x:c r="AI17" s="118"/>
      <x:c r="AJ17" s="118"/>
      <x:c r="AK17" s="118"/>
      <x:c r="AL17" s="120"/>
      <x:c r="AM17" s="120"/>
      <x:c r="AN17" s="118"/>
      <x:c r="AO17" s="118"/>
      <x:c r="AP17" s="118"/>
      <x:c r="AQ17" s="118"/>
      <x:c r="AR17" s="118"/>
      <x:c r="AS17" s="120"/>
      <x:c r="AT17" s="120"/>
      <x:c r="AU17" s="118"/>
      <x:c r="AV17" s="118"/>
      <x:c r="AW17" s="118"/>
      <x:c r="AX17" s="118"/>
      <x:c r="AY17" s="118"/>
      <x:c r="AZ17" s="120"/>
      <x:c r="BA17" s="120"/>
      <x:c r="BB17" s="118"/>
      <x:c r="BC17" s="118"/>
      <x:c r="BD17" s="118"/>
      <x:c r="BE17" s="118"/>
      <x:c r="BF17" s="118"/>
      <x:c r="BG17" s="120"/>
      <x:c r="BH17" s="120"/>
      <x:c r="BI17" s="118"/>
      <x:c r="BJ17" s="118"/>
      <x:c r="BK17" s="118"/>
    </x:row>
    <x:row r="18" ht="18" customHeight="1">
      <x:c r="A18" s="101" t="str">
        <x:v>T-014</x:v>
      </x:c>
      <x:c r="B18" s="101" t="str">
        <x:v>P0</x:v>
      </x:c>
      <x:c r="C18" s="101" t="str">
        <x:v>가상 데이터 구축</x:v>
      </x:c>
      <x:c r="D18" s="101" t="str">
        <x:v>데이터·QA·DevOps</x:v>
      </x:c>
      <x:c r="E18" s="101" t="str">
        <x:v>김은진</x:v>
      </x:c>
      <x:c r="F18" s="101" t="str">
        <x:v>완료</x:v>
      </x:c>
      <x:c r="G18" s="97" t="n">
        <x:v>46223</x:v>
      </x:c>
      <x:c r="H18" s="97" t="n">
        <x:v>46225</x:v>
      </x:c>
      <x:c r="I18" s="118"/>
      <x:c r="J18" s="120"/>
      <x:c r="K18" s="120"/>
      <x:c r="L18" s="122"/>
      <x:c r="M18" s="122"/>
      <x:c r="N18" s="122"/>
      <x:c r="O18" s="118"/>
      <x:c r="P18" s="118"/>
      <x:c r="Q18" s="120"/>
      <x:c r="R18" s="120"/>
      <x:c r="S18" s="118"/>
      <x:c r="T18" s="118"/>
      <x:c r="U18" s="118"/>
      <x:c r="V18" s="118"/>
      <x:c r="W18" s="118"/>
      <x:c r="X18" s="120"/>
      <x:c r="Y18" s="120"/>
      <x:c r="Z18" s="118"/>
      <x:c r="AA18" s="118"/>
      <x:c r="AB18" s="118"/>
      <x:c r="AC18" s="118"/>
      <x:c r="AD18" s="118"/>
      <x:c r="AE18" s="120"/>
      <x:c r="AF18" s="120"/>
      <x:c r="AG18" s="118"/>
      <x:c r="AH18" s="118"/>
      <x:c r="AI18" s="118"/>
      <x:c r="AJ18" s="118"/>
      <x:c r="AK18" s="118"/>
      <x:c r="AL18" s="120"/>
      <x:c r="AM18" s="120"/>
      <x:c r="AN18" s="118"/>
      <x:c r="AO18" s="118"/>
      <x:c r="AP18" s="118"/>
      <x:c r="AQ18" s="118"/>
      <x:c r="AR18" s="118"/>
      <x:c r="AS18" s="120"/>
      <x:c r="AT18" s="120"/>
      <x:c r="AU18" s="118"/>
      <x:c r="AV18" s="118"/>
      <x:c r="AW18" s="118"/>
      <x:c r="AX18" s="118"/>
      <x:c r="AY18" s="118"/>
      <x:c r="AZ18" s="120"/>
      <x:c r="BA18" s="120"/>
      <x:c r="BB18" s="118"/>
      <x:c r="BC18" s="118"/>
      <x:c r="BD18" s="118"/>
      <x:c r="BE18" s="118"/>
      <x:c r="BF18" s="118"/>
      <x:c r="BG18" s="120"/>
      <x:c r="BH18" s="120"/>
      <x:c r="BI18" s="118"/>
      <x:c r="BJ18" s="118"/>
      <x:c r="BK18" s="118"/>
    </x:row>
    <x:row r="19" ht="18" customHeight="1">
      <x:c r="A19" s="101" t="str">
        <x:v>T-015</x:v>
      </x:c>
      <x:c r="B19" s="101" t="str">
        <x:v>P0</x:v>
      </x:c>
      <x:c r="C19" s="101" t="str">
        <x:v>안전 규칙 구축</x:v>
      </x:c>
      <x:c r="D19" s="101" t="str">
        <x:v>AI·RAG</x:v>
      </x:c>
      <x:c r="E19" s="101" t="str">
        <x:v>이동윤</x:v>
      </x:c>
      <x:c r="F19" s="101" t="str">
        <x:v>진행 중</x:v>
      </x:c>
      <x:c r="G19" s="97" t="n">
        <x:v>46225</x:v>
      </x:c>
      <x:c r="H19" s="97" t="n">
        <x:v>46230</x:v>
      </x:c>
      <x:c r="I19" s="118"/>
      <x:c r="J19" s="120"/>
      <x:c r="K19" s="120"/>
      <x:c r="L19" s="118"/>
      <x:c r="M19" s="118"/>
      <x:c r="N19" s="122"/>
      <x:c r="O19" s="122"/>
      <x:c r="P19" s="122"/>
      <x:c r="Q19" s="122"/>
      <x:c r="R19" s="122"/>
      <x:c r="S19" s="122"/>
      <x:c r="T19" s="118"/>
      <x:c r="U19" s="118"/>
      <x:c r="V19" s="118"/>
      <x:c r="W19" s="118"/>
      <x:c r="X19" s="120"/>
      <x:c r="Y19" s="120"/>
      <x:c r="Z19" s="118"/>
      <x:c r="AA19" s="118"/>
      <x:c r="AB19" s="118"/>
      <x:c r="AC19" s="118"/>
      <x:c r="AD19" s="118"/>
      <x:c r="AE19" s="120"/>
      <x:c r="AF19" s="120"/>
      <x:c r="AG19" s="118"/>
      <x:c r="AH19" s="118"/>
      <x:c r="AI19" s="118"/>
      <x:c r="AJ19" s="118"/>
      <x:c r="AK19" s="118"/>
      <x:c r="AL19" s="120"/>
      <x:c r="AM19" s="120"/>
      <x:c r="AN19" s="118"/>
      <x:c r="AO19" s="118"/>
      <x:c r="AP19" s="118"/>
      <x:c r="AQ19" s="118"/>
      <x:c r="AR19" s="118"/>
      <x:c r="AS19" s="120"/>
      <x:c r="AT19" s="120"/>
      <x:c r="AU19" s="118"/>
      <x:c r="AV19" s="118"/>
      <x:c r="AW19" s="118"/>
      <x:c r="AX19" s="118"/>
      <x:c r="AY19" s="118"/>
      <x:c r="AZ19" s="120"/>
      <x:c r="BA19" s="120"/>
      <x:c r="BB19" s="118"/>
      <x:c r="BC19" s="118"/>
      <x:c r="BD19" s="118"/>
      <x:c r="BE19" s="118"/>
      <x:c r="BF19" s="118"/>
      <x:c r="BG19" s="120"/>
      <x:c r="BH19" s="120"/>
      <x:c r="BI19" s="118"/>
      <x:c r="BJ19" s="118"/>
      <x:c r="BK19" s="118"/>
    </x:row>
    <x:row r="20" ht="18" customHeight="1">
      <x:c r="A20" s="101" t="str">
        <x:v>T-016</x:v>
      </x:c>
      <x:c r="B20" s="101" t="str">
        <x:v>P0</x:v>
      </x:c>
      <x:c r="C20" s="101" t="str">
        <x:v>백엔드 공통</x:v>
      </x:c>
      <x:c r="D20" s="101" t="str">
        <x:v>백엔드·데이터베이스</x:v>
      </x:c>
      <x:c r="E20" s="101" t="str">
        <x:v>최지용</x:v>
      </x:c>
      <x:c r="F20" s="101" t="str">
        <x:v>진행 중</x:v>
      </x:c>
      <x:c r="G20" s="97" t="n">
        <x:v>46226</x:v>
      </x:c>
      <x:c r="H20" s="97" t="n">
        <x:v>46226</x:v>
      </x:c>
      <x:c r="I20" s="118"/>
      <x:c r="J20" s="120"/>
      <x:c r="K20" s="120"/>
      <x:c r="L20" s="118"/>
      <x:c r="M20" s="118"/>
      <x:c r="N20" s="118"/>
      <x:c r="O20" s="122"/>
      <x:c r="P20" s="118"/>
      <x:c r="Q20" s="120"/>
      <x:c r="R20" s="120"/>
      <x:c r="S20" s="118"/>
      <x:c r="T20" s="118"/>
      <x:c r="U20" s="118"/>
      <x:c r="V20" s="118"/>
      <x:c r="W20" s="118"/>
      <x:c r="X20" s="120"/>
      <x:c r="Y20" s="120"/>
      <x:c r="Z20" s="118"/>
      <x:c r="AA20" s="118"/>
      <x:c r="AB20" s="118"/>
      <x:c r="AC20" s="118"/>
      <x:c r="AD20" s="118"/>
      <x:c r="AE20" s="120"/>
      <x:c r="AF20" s="120"/>
      <x:c r="AG20" s="118"/>
      <x:c r="AH20" s="118"/>
      <x:c r="AI20" s="118"/>
      <x:c r="AJ20" s="118"/>
      <x:c r="AK20" s="118"/>
      <x:c r="AL20" s="120"/>
      <x:c r="AM20" s="120"/>
      <x:c r="AN20" s="118"/>
      <x:c r="AO20" s="118"/>
      <x:c r="AP20" s="118"/>
      <x:c r="AQ20" s="118"/>
      <x:c r="AR20" s="118"/>
      <x:c r="AS20" s="120"/>
      <x:c r="AT20" s="120"/>
      <x:c r="AU20" s="118"/>
      <x:c r="AV20" s="118"/>
      <x:c r="AW20" s="118"/>
      <x:c r="AX20" s="118"/>
      <x:c r="AY20" s="118"/>
      <x:c r="AZ20" s="120"/>
      <x:c r="BA20" s="120"/>
      <x:c r="BB20" s="118"/>
      <x:c r="BC20" s="118"/>
      <x:c r="BD20" s="118"/>
      <x:c r="BE20" s="118"/>
      <x:c r="BF20" s="118"/>
      <x:c r="BG20" s="120"/>
      <x:c r="BH20" s="120"/>
      <x:c r="BI20" s="118"/>
      <x:c r="BJ20" s="118"/>
      <x:c r="BK20" s="118"/>
    </x:row>
    <x:row r="21" ht="18" customHeight="1">
      <x:c r="A21" s="101" t="str">
        <x:v>T-017</x:v>
      </x:c>
      <x:c r="B21" s="101" t="str">
        <x:v>P0</x:v>
      </x:c>
      <x:c r="C21" s="101" t="str">
        <x:v>사용자·권한</x:v>
      </x:c>
      <x:c r="D21" s="101" t="str">
        <x:v>백엔드·데이터베이스</x:v>
      </x:c>
      <x:c r="E21" s="101" t="str">
        <x:v>최지용</x:v>
      </x:c>
      <x:c r="F21" s="101" t="str">
        <x:v>미착수</x:v>
      </x:c>
      <x:c r="G21" s="97" t="n">
        <x:v>46227</x:v>
      </x:c>
      <x:c r="H21" s="97" t="n">
        <x:v>46230</x:v>
      </x:c>
      <x:c r="I21" s="118"/>
      <x:c r="J21" s="120"/>
      <x:c r="K21" s="120"/>
      <x:c r="L21" s="118"/>
      <x:c r="M21" s="118"/>
      <x:c r="N21" s="118"/>
      <x:c r="O21" s="118"/>
      <x:c r="P21" s="122"/>
      <x:c r="Q21" s="122"/>
      <x:c r="R21" s="122"/>
      <x:c r="S21" s="122"/>
      <x:c r="T21" s="118"/>
      <x:c r="U21" s="118"/>
      <x:c r="V21" s="118"/>
      <x:c r="W21" s="118"/>
      <x:c r="X21" s="120"/>
      <x:c r="Y21" s="120"/>
      <x:c r="Z21" s="118"/>
      <x:c r="AA21" s="118"/>
      <x:c r="AB21" s="118"/>
      <x:c r="AC21" s="118"/>
      <x:c r="AD21" s="118"/>
      <x:c r="AE21" s="120"/>
      <x:c r="AF21" s="120"/>
      <x:c r="AG21" s="118"/>
      <x:c r="AH21" s="118"/>
      <x:c r="AI21" s="118"/>
      <x:c r="AJ21" s="118"/>
      <x:c r="AK21" s="118"/>
      <x:c r="AL21" s="120"/>
      <x:c r="AM21" s="120"/>
      <x:c r="AN21" s="118"/>
      <x:c r="AO21" s="118"/>
      <x:c r="AP21" s="118"/>
      <x:c r="AQ21" s="118"/>
      <x:c r="AR21" s="118"/>
      <x:c r="AS21" s="120"/>
      <x:c r="AT21" s="120"/>
      <x:c r="AU21" s="118"/>
      <x:c r="AV21" s="118"/>
      <x:c r="AW21" s="118"/>
      <x:c r="AX21" s="118"/>
      <x:c r="AY21" s="118"/>
      <x:c r="AZ21" s="120"/>
      <x:c r="BA21" s="120"/>
      <x:c r="BB21" s="118"/>
      <x:c r="BC21" s="118"/>
      <x:c r="BD21" s="118"/>
      <x:c r="BE21" s="118"/>
      <x:c r="BF21" s="118"/>
      <x:c r="BG21" s="120"/>
      <x:c r="BH21" s="120"/>
      <x:c r="BI21" s="118"/>
      <x:c r="BJ21" s="118"/>
      <x:c r="BK21" s="118"/>
    </x:row>
    <x:row r="22" ht="18" customHeight="1">
      <x:c r="A22" s="101" t="str">
        <x:v>T-017A</x:v>
      </x:c>
      <x:c r="B22" s="101" t="str">
        <x:v>P0</x:v>
      </x:c>
      <x:c r="C22" s="101" t="str">
        <x:v>사용자 계정 관리 설계</x:v>
      </x:c>
      <x:c r="D22" s="101" t="str">
        <x:v>백엔드·데이터베이스</x:v>
      </x:c>
      <x:c r="E22" s="101" t="str">
        <x:v>최지용</x:v>
      </x:c>
      <x:c r="F22" s="101" t="str">
        <x:v>미착수</x:v>
      </x:c>
      <x:c r="G22" s="97" t="n">
        <x:v>46233</x:v>
      </x:c>
      <x:c r="H22" s="97" t="n">
        <x:v>46233</x:v>
      </x:c>
      <x:c r="I22" s="118"/>
      <x:c r="J22" s="120"/>
      <x:c r="K22" s="120"/>
      <x:c r="L22" s="118"/>
      <x:c r="M22" s="118"/>
      <x:c r="N22" s="118"/>
      <x:c r="O22" s="118"/>
      <x:c r="P22" s="118"/>
      <x:c r="Q22" s="120"/>
      <x:c r="R22" s="120"/>
      <x:c r="S22" s="118"/>
      <x:c r="T22" s="118"/>
      <x:c r="U22" s="118"/>
      <x:c r="V22" s="122"/>
      <x:c r="W22" s="118"/>
      <x:c r="X22" s="120"/>
      <x:c r="Y22" s="120"/>
      <x:c r="Z22" s="118"/>
      <x:c r="AA22" s="118"/>
      <x:c r="AB22" s="118"/>
      <x:c r="AC22" s="118"/>
      <x:c r="AD22" s="118"/>
      <x:c r="AE22" s="120"/>
      <x:c r="AF22" s="120"/>
      <x:c r="AG22" s="118"/>
      <x:c r="AH22" s="118"/>
      <x:c r="AI22" s="118"/>
      <x:c r="AJ22" s="118"/>
      <x:c r="AK22" s="118"/>
      <x:c r="AL22" s="120"/>
      <x:c r="AM22" s="120"/>
      <x:c r="AN22" s="118"/>
      <x:c r="AO22" s="118"/>
      <x:c r="AP22" s="118"/>
      <x:c r="AQ22" s="118"/>
      <x:c r="AR22" s="118"/>
      <x:c r="AS22" s="120"/>
      <x:c r="AT22" s="120"/>
      <x:c r="AU22" s="118"/>
      <x:c r="AV22" s="118"/>
      <x:c r="AW22" s="118"/>
      <x:c r="AX22" s="118"/>
      <x:c r="AY22" s="118"/>
      <x:c r="AZ22" s="120"/>
      <x:c r="BA22" s="120"/>
      <x:c r="BB22" s="118"/>
      <x:c r="BC22" s="118"/>
      <x:c r="BD22" s="118"/>
      <x:c r="BE22" s="118"/>
      <x:c r="BF22" s="118"/>
      <x:c r="BG22" s="120"/>
      <x:c r="BH22" s="120"/>
      <x:c r="BI22" s="118"/>
      <x:c r="BJ22" s="118"/>
      <x:c r="BK22" s="118"/>
    </x:row>
    <x:row r="23" ht="18" customHeight="1">
      <x:c r="A23" s="101" t="str">
        <x:v>T-017B</x:v>
      </x:c>
      <x:c r="B23" s="101" t="str">
        <x:v>P0</x:v>
      </x:c>
      <x:c r="C23" s="101" t="str">
        <x:v>내부 계정 관리</x:v>
      </x:c>
      <x:c r="D23" s="101" t="str">
        <x:v>백엔드·데이터베이스</x:v>
      </x:c>
      <x:c r="E23" s="101" t="str">
        <x:v>최지용</x:v>
      </x:c>
      <x:c r="F23" s="101" t="str">
        <x:v>미착수</x:v>
      </x:c>
      <x:c r="G23" s="97" t="n">
        <x:v>46237</x:v>
      </x:c>
      <x:c r="H23" s="97" t="n">
        <x:v>46237</x:v>
      </x:c>
      <x:c r="I23" s="118"/>
      <x:c r="J23" s="120"/>
      <x:c r="K23" s="120"/>
      <x:c r="L23" s="118"/>
      <x:c r="M23" s="118"/>
      <x:c r="N23" s="118"/>
      <x:c r="O23" s="118"/>
      <x:c r="P23" s="118"/>
      <x:c r="Q23" s="120"/>
      <x:c r="R23" s="120"/>
      <x:c r="S23" s="118"/>
      <x:c r="T23" s="118"/>
      <x:c r="U23" s="118"/>
      <x:c r="V23" s="118"/>
      <x:c r="W23" s="118"/>
      <x:c r="X23" s="120"/>
      <x:c r="Y23" s="120"/>
      <x:c r="Z23" s="122"/>
      <x:c r="AA23" s="118"/>
      <x:c r="AB23" s="118"/>
      <x:c r="AC23" s="118"/>
      <x:c r="AD23" s="118"/>
      <x:c r="AE23" s="120"/>
      <x:c r="AF23" s="120"/>
      <x:c r="AG23" s="118"/>
      <x:c r="AH23" s="118"/>
      <x:c r="AI23" s="118"/>
      <x:c r="AJ23" s="118"/>
      <x:c r="AK23" s="118"/>
      <x:c r="AL23" s="120"/>
      <x:c r="AM23" s="120"/>
      <x:c r="AN23" s="118"/>
      <x:c r="AO23" s="118"/>
      <x:c r="AP23" s="118"/>
      <x:c r="AQ23" s="118"/>
      <x:c r="AR23" s="118"/>
      <x:c r="AS23" s="120"/>
      <x:c r="AT23" s="120"/>
      <x:c r="AU23" s="118"/>
      <x:c r="AV23" s="118"/>
      <x:c r="AW23" s="118"/>
      <x:c r="AX23" s="118"/>
      <x:c r="AY23" s="118"/>
      <x:c r="AZ23" s="120"/>
      <x:c r="BA23" s="120"/>
      <x:c r="BB23" s="118"/>
      <x:c r="BC23" s="118"/>
      <x:c r="BD23" s="118"/>
      <x:c r="BE23" s="118"/>
      <x:c r="BF23" s="118"/>
      <x:c r="BG23" s="120"/>
      <x:c r="BH23" s="120"/>
      <x:c r="BI23" s="118"/>
      <x:c r="BJ23" s="118"/>
      <x:c r="BK23" s="118"/>
    </x:row>
    <x:row r="24" ht="18" customHeight="1">
      <x:c r="A24" s="101" t="str">
        <x:v>T-017C</x:v>
      </x:c>
      <x:c r="B24" s="101" t="str">
        <x:v>P0</x:v>
      </x:c>
      <x:c r="C24" s="101" t="str">
        <x:v>계정 수명주기·감사</x:v>
      </x:c>
      <x:c r="D24" s="101" t="str">
        <x:v>백엔드·데이터베이스</x:v>
      </x:c>
      <x:c r="E24" s="101" t="str">
        <x:v>최지용</x:v>
      </x:c>
      <x:c r="F24" s="101" t="str">
        <x:v>미착수</x:v>
      </x:c>
      <x:c r="G24" s="97" t="n">
        <x:v>46238</x:v>
      </x:c>
      <x:c r="H24" s="97" t="n">
        <x:v>46239</x:v>
      </x:c>
      <x:c r="I24" s="118"/>
      <x:c r="J24" s="120"/>
      <x:c r="K24" s="120"/>
      <x:c r="L24" s="118"/>
      <x:c r="M24" s="118"/>
      <x:c r="N24" s="118"/>
      <x:c r="O24" s="118"/>
      <x:c r="P24" s="118"/>
      <x:c r="Q24" s="120"/>
      <x:c r="R24" s="120"/>
      <x:c r="S24" s="118"/>
      <x:c r="T24" s="118"/>
      <x:c r="U24" s="118"/>
      <x:c r="V24" s="118"/>
      <x:c r="W24" s="118"/>
      <x:c r="X24" s="120"/>
      <x:c r="Y24" s="120"/>
      <x:c r="Z24" s="118"/>
      <x:c r="AA24" s="122"/>
      <x:c r="AB24" s="122"/>
      <x:c r="AC24" s="118"/>
      <x:c r="AD24" s="118"/>
      <x:c r="AE24" s="120"/>
      <x:c r="AF24" s="120"/>
      <x:c r="AG24" s="118"/>
      <x:c r="AH24" s="118"/>
      <x:c r="AI24" s="118"/>
      <x:c r="AJ24" s="118"/>
      <x:c r="AK24" s="118"/>
      <x:c r="AL24" s="120"/>
      <x:c r="AM24" s="120"/>
      <x:c r="AN24" s="118"/>
      <x:c r="AO24" s="118"/>
      <x:c r="AP24" s="118"/>
      <x:c r="AQ24" s="118"/>
      <x:c r="AR24" s="118"/>
      <x:c r="AS24" s="120"/>
      <x:c r="AT24" s="120"/>
      <x:c r="AU24" s="118"/>
      <x:c r="AV24" s="118"/>
      <x:c r="AW24" s="118"/>
      <x:c r="AX24" s="118"/>
      <x:c r="AY24" s="118"/>
      <x:c r="AZ24" s="120"/>
      <x:c r="BA24" s="120"/>
      <x:c r="BB24" s="118"/>
      <x:c r="BC24" s="118"/>
      <x:c r="BD24" s="118"/>
      <x:c r="BE24" s="118"/>
      <x:c r="BF24" s="118"/>
      <x:c r="BG24" s="120"/>
      <x:c r="BH24" s="120"/>
      <x:c r="BI24" s="118"/>
      <x:c r="BJ24" s="118"/>
      <x:c r="BK24" s="118"/>
    </x:row>
    <x:row r="25" ht="18" customHeight="1">
      <x:c r="A25" s="101" t="str">
        <x:v>T-018</x:v>
      </x:c>
      <x:c r="B25" s="101" t="str">
        <x:v>P0</x:v>
      </x:c>
      <x:c r="C25" s="101" t="str">
        <x:v>제품·구독 관리</x:v>
      </x:c>
      <x:c r="D25" s="101" t="str">
        <x:v>백엔드·데이터베이스</x:v>
      </x:c>
      <x:c r="E25" s="101" t="str">
        <x:v>최지용</x:v>
      </x:c>
      <x:c r="F25" s="101" t="str">
        <x:v>미착수</x:v>
      </x:c>
      <x:c r="G25" s="97" t="n">
        <x:v>46234</x:v>
      </x:c>
      <x:c r="H25" s="97" t="n">
        <x:v>46237</x:v>
      </x:c>
      <x:c r="I25" s="118"/>
      <x:c r="J25" s="120"/>
      <x:c r="K25" s="120"/>
      <x:c r="L25" s="118"/>
      <x:c r="M25" s="118"/>
      <x:c r="N25" s="118"/>
      <x:c r="O25" s="118"/>
      <x:c r="P25" s="118"/>
      <x:c r="Q25" s="120"/>
      <x:c r="R25" s="120"/>
      <x:c r="S25" s="118"/>
      <x:c r="T25" s="118"/>
      <x:c r="U25" s="118"/>
      <x:c r="V25" s="118"/>
      <x:c r="W25" s="122"/>
      <x:c r="X25" s="122"/>
      <x:c r="Y25" s="122"/>
      <x:c r="Z25" s="122"/>
      <x:c r="AA25" s="118"/>
      <x:c r="AB25" s="118"/>
      <x:c r="AC25" s="118"/>
      <x:c r="AD25" s="118"/>
      <x:c r="AE25" s="120"/>
      <x:c r="AF25" s="120"/>
      <x:c r="AG25" s="118"/>
      <x:c r="AH25" s="118"/>
      <x:c r="AI25" s="118"/>
      <x:c r="AJ25" s="118"/>
      <x:c r="AK25" s="118"/>
      <x:c r="AL25" s="120"/>
      <x:c r="AM25" s="120"/>
      <x:c r="AN25" s="118"/>
      <x:c r="AO25" s="118"/>
      <x:c r="AP25" s="118"/>
      <x:c r="AQ25" s="118"/>
      <x:c r="AR25" s="118"/>
      <x:c r="AS25" s="120"/>
      <x:c r="AT25" s="120"/>
      <x:c r="AU25" s="118"/>
      <x:c r="AV25" s="118"/>
      <x:c r="AW25" s="118"/>
      <x:c r="AX25" s="118"/>
      <x:c r="AY25" s="118"/>
      <x:c r="AZ25" s="120"/>
      <x:c r="BA25" s="120"/>
      <x:c r="BB25" s="118"/>
      <x:c r="BC25" s="118"/>
      <x:c r="BD25" s="118"/>
      <x:c r="BE25" s="118"/>
      <x:c r="BF25" s="118"/>
      <x:c r="BG25" s="120"/>
      <x:c r="BH25" s="120"/>
      <x:c r="BI25" s="118"/>
      <x:c r="BJ25" s="118"/>
      <x:c r="BK25" s="118"/>
    </x:row>
    <x:row r="26" ht="18" customHeight="1">
      <x:c r="A26" s="101" t="str">
        <x:v>T-019</x:v>
      </x:c>
      <x:c r="B26" s="101" t="str">
        <x:v>P0</x:v>
      </x:c>
      <x:c r="C26" s="101" t="str">
        <x:v>케어 관리</x:v>
      </x:c>
      <x:c r="D26" s="101" t="str">
        <x:v>백엔드·데이터베이스</x:v>
      </x:c>
      <x:c r="E26" s="101" t="str">
        <x:v>최지용</x:v>
      </x:c>
      <x:c r="F26" s="101" t="str">
        <x:v>미착수</x:v>
      </x:c>
      <x:c r="G26" s="97" t="n">
        <x:v>46239</x:v>
      </x:c>
      <x:c r="H26" s="97" t="n">
        <x:v>46240</x:v>
      </x:c>
      <x:c r="I26" s="118"/>
      <x:c r="J26" s="120"/>
      <x:c r="K26" s="120"/>
      <x:c r="L26" s="118"/>
      <x:c r="M26" s="118"/>
      <x:c r="N26" s="118"/>
      <x:c r="O26" s="118"/>
      <x:c r="P26" s="118"/>
      <x:c r="Q26" s="120"/>
      <x:c r="R26" s="120"/>
      <x:c r="S26" s="118"/>
      <x:c r="T26" s="118"/>
      <x:c r="U26" s="118"/>
      <x:c r="V26" s="118"/>
      <x:c r="W26" s="118"/>
      <x:c r="X26" s="120"/>
      <x:c r="Y26" s="120"/>
      <x:c r="Z26" s="118"/>
      <x:c r="AA26" s="118"/>
      <x:c r="AB26" s="122"/>
      <x:c r="AC26" s="122"/>
      <x:c r="AD26" s="118"/>
      <x:c r="AE26" s="120"/>
      <x:c r="AF26" s="120"/>
      <x:c r="AG26" s="118"/>
      <x:c r="AH26" s="118"/>
      <x:c r="AI26" s="118"/>
      <x:c r="AJ26" s="118"/>
      <x:c r="AK26" s="118"/>
      <x:c r="AL26" s="120"/>
      <x:c r="AM26" s="120"/>
      <x:c r="AN26" s="118"/>
      <x:c r="AO26" s="118"/>
      <x:c r="AP26" s="118"/>
      <x:c r="AQ26" s="118"/>
      <x:c r="AR26" s="118"/>
      <x:c r="AS26" s="120"/>
      <x:c r="AT26" s="120"/>
      <x:c r="AU26" s="118"/>
      <x:c r="AV26" s="118"/>
      <x:c r="AW26" s="118"/>
      <x:c r="AX26" s="118"/>
      <x:c r="AY26" s="118"/>
      <x:c r="AZ26" s="120"/>
      <x:c r="BA26" s="120"/>
      <x:c r="BB26" s="118"/>
      <x:c r="BC26" s="118"/>
      <x:c r="BD26" s="118"/>
      <x:c r="BE26" s="118"/>
      <x:c r="BF26" s="118"/>
      <x:c r="BG26" s="120"/>
      <x:c r="BH26" s="120"/>
      <x:c r="BI26" s="118"/>
      <x:c r="BJ26" s="118"/>
      <x:c r="BK26" s="118"/>
    </x:row>
    <x:row r="27" ht="18" customHeight="1">
      <x:c r="A27" s="101" t="str">
        <x:v>T-020</x:v>
      </x:c>
      <x:c r="B27" s="101" t="str">
        <x:v>P0</x:v>
      </x:c>
      <x:c r="C27" s="101" t="str">
        <x:v>케어 관리</x:v>
      </x:c>
      <x:c r="D27" s="101" t="str">
        <x:v>백엔드·데이터베이스</x:v>
      </x:c>
      <x:c r="E27" s="101" t="str">
        <x:v>최지용</x:v>
      </x:c>
      <x:c r="F27" s="101" t="str">
        <x:v>미착수</x:v>
      </x:c>
      <x:c r="G27" s="97" t="n">
        <x:v>46244</x:v>
      </x:c>
      <x:c r="H27" s="97" t="n">
        <x:v>46244</x:v>
      </x:c>
      <x:c r="I27" s="118"/>
      <x:c r="J27" s="120"/>
      <x:c r="K27" s="120"/>
      <x:c r="L27" s="118"/>
      <x:c r="M27" s="118"/>
      <x:c r="N27" s="118"/>
      <x:c r="O27" s="118"/>
      <x:c r="P27" s="118"/>
      <x:c r="Q27" s="120"/>
      <x:c r="R27" s="120"/>
      <x:c r="S27" s="118"/>
      <x:c r="T27" s="118"/>
      <x:c r="U27" s="118"/>
      <x:c r="V27" s="118"/>
      <x:c r="W27" s="118"/>
      <x:c r="X27" s="120"/>
      <x:c r="Y27" s="120"/>
      <x:c r="Z27" s="118"/>
      <x:c r="AA27" s="118"/>
      <x:c r="AB27" s="118"/>
      <x:c r="AC27" s="118"/>
      <x:c r="AD27" s="118"/>
      <x:c r="AE27" s="120"/>
      <x:c r="AF27" s="120"/>
      <x:c r="AG27" s="122"/>
      <x:c r="AH27" s="118"/>
      <x:c r="AI27" s="118"/>
      <x:c r="AJ27" s="118"/>
      <x:c r="AK27" s="118"/>
      <x:c r="AL27" s="120"/>
      <x:c r="AM27" s="120"/>
      <x:c r="AN27" s="118"/>
      <x:c r="AO27" s="118"/>
      <x:c r="AP27" s="118"/>
      <x:c r="AQ27" s="118"/>
      <x:c r="AR27" s="118"/>
      <x:c r="AS27" s="120"/>
      <x:c r="AT27" s="120"/>
      <x:c r="AU27" s="118"/>
      <x:c r="AV27" s="118"/>
      <x:c r="AW27" s="118"/>
      <x:c r="AX27" s="118"/>
      <x:c r="AY27" s="118"/>
      <x:c r="AZ27" s="120"/>
      <x:c r="BA27" s="120"/>
      <x:c r="BB27" s="118"/>
      <x:c r="BC27" s="118"/>
      <x:c r="BD27" s="118"/>
      <x:c r="BE27" s="118"/>
      <x:c r="BF27" s="118"/>
      <x:c r="BG27" s="120"/>
      <x:c r="BH27" s="120"/>
      <x:c r="BI27" s="118"/>
      <x:c r="BJ27" s="118"/>
      <x:c r="BK27" s="118"/>
    </x:row>
    <x:row r="28" ht="18" customHeight="1">
      <x:c r="A28" s="101" t="str">
        <x:v>T-021</x:v>
      </x:c>
      <x:c r="B28" s="101" t="str">
        <x:v>P0</x:v>
      </x:c>
      <x:c r="C28" s="101" t="str">
        <x:v>사전 문진</x:v>
      </x:c>
      <x:c r="D28" s="101" t="str">
        <x:v>백엔드·데이터베이스</x:v>
      </x:c>
      <x:c r="E28" s="101" t="str">
        <x:v>최지용</x:v>
      </x:c>
      <x:c r="F28" s="101" t="str">
        <x:v>미착수</x:v>
      </x:c>
      <x:c r="G28" s="97" t="n">
        <x:v>46245</x:v>
      </x:c>
      <x:c r="H28" s="97" t="n">
        <x:v>46246</x:v>
      </x:c>
      <x:c r="I28" s="118"/>
      <x:c r="J28" s="120"/>
      <x:c r="K28" s="120"/>
      <x:c r="L28" s="118"/>
      <x:c r="M28" s="118"/>
      <x:c r="N28" s="118"/>
      <x:c r="O28" s="118"/>
      <x:c r="P28" s="118"/>
      <x:c r="Q28" s="120"/>
      <x:c r="R28" s="120"/>
      <x:c r="S28" s="118"/>
      <x:c r="T28" s="118"/>
      <x:c r="U28" s="118"/>
      <x:c r="V28" s="118"/>
      <x:c r="W28" s="118"/>
      <x:c r="X28" s="120"/>
      <x:c r="Y28" s="120"/>
      <x:c r="Z28" s="118"/>
      <x:c r="AA28" s="118"/>
      <x:c r="AB28" s="118"/>
      <x:c r="AC28" s="118"/>
      <x:c r="AD28" s="118"/>
      <x:c r="AE28" s="120"/>
      <x:c r="AF28" s="120"/>
      <x:c r="AG28" s="118"/>
      <x:c r="AH28" s="122"/>
      <x:c r="AI28" s="122"/>
      <x:c r="AJ28" s="118"/>
      <x:c r="AK28" s="118"/>
      <x:c r="AL28" s="120"/>
      <x:c r="AM28" s="120"/>
      <x:c r="AN28" s="118"/>
      <x:c r="AO28" s="118"/>
      <x:c r="AP28" s="118"/>
      <x:c r="AQ28" s="118"/>
      <x:c r="AR28" s="118"/>
      <x:c r="AS28" s="120"/>
      <x:c r="AT28" s="120"/>
      <x:c r="AU28" s="118"/>
      <x:c r="AV28" s="118"/>
      <x:c r="AW28" s="118"/>
      <x:c r="AX28" s="118"/>
      <x:c r="AY28" s="118"/>
      <x:c r="AZ28" s="120"/>
      <x:c r="BA28" s="120"/>
      <x:c r="BB28" s="118"/>
      <x:c r="BC28" s="118"/>
      <x:c r="BD28" s="118"/>
      <x:c r="BE28" s="118"/>
      <x:c r="BF28" s="118"/>
      <x:c r="BG28" s="120"/>
      <x:c r="BH28" s="120"/>
      <x:c r="BI28" s="118"/>
      <x:c r="BJ28" s="118"/>
      <x:c r="BK28" s="118"/>
    </x:row>
    <x:row r="29" ht="18" customHeight="1">
      <x:c r="A29" s="101" t="str">
        <x:v>T-022</x:v>
      </x:c>
      <x:c r="B29" s="101" t="str">
        <x:v>P0</x:v>
      </x:c>
      <x:c r="C29" s="101" t="str">
        <x:v>문의 관리</x:v>
      </x:c>
      <x:c r="D29" s="101" t="str">
        <x:v>백엔드·데이터베이스</x:v>
      </x:c>
      <x:c r="E29" s="101" t="str">
        <x:v>최지용</x:v>
      </x:c>
      <x:c r="F29" s="101" t="str">
        <x:v>미착수</x:v>
      </x:c>
      <x:c r="G29" s="97" t="n">
        <x:v>46231</x:v>
      </x:c>
      <x:c r="H29" s="97" t="n">
        <x:v>46232</x:v>
      </x:c>
      <x:c r="I29" s="118"/>
      <x:c r="J29" s="120"/>
      <x:c r="K29" s="120"/>
      <x:c r="L29" s="118"/>
      <x:c r="M29" s="118"/>
      <x:c r="N29" s="118"/>
      <x:c r="O29" s="118"/>
      <x:c r="P29" s="118"/>
      <x:c r="Q29" s="120"/>
      <x:c r="R29" s="120"/>
      <x:c r="S29" s="118"/>
      <x:c r="T29" s="122"/>
      <x:c r="U29" s="122"/>
      <x:c r="V29" s="118"/>
      <x:c r="W29" s="118"/>
      <x:c r="X29" s="120"/>
      <x:c r="Y29" s="120"/>
      <x:c r="Z29" s="118"/>
      <x:c r="AA29" s="118"/>
      <x:c r="AB29" s="118"/>
      <x:c r="AC29" s="118"/>
      <x:c r="AD29" s="118"/>
      <x:c r="AE29" s="120"/>
      <x:c r="AF29" s="120"/>
      <x:c r="AG29" s="118"/>
      <x:c r="AH29" s="118"/>
      <x:c r="AI29" s="118"/>
      <x:c r="AJ29" s="118"/>
      <x:c r="AK29" s="118"/>
      <x:c r="AL29" s="120"/>
      <x:c r="AM29" s="120"/>
      <x:c r="AN29" s="118"/>
      <x:c r="AO29" s="118"/>
      <x:c r="AP29" s="118"/>
      <x:c r="AQ29" s="118"/>
      <x:c r="AR29" s="118"/>
      <x:c r="AS29" s="120"/>
      <x:c r="AT29" s="120"/>
      <x:c r="AU29" s="118"/>
      <x:c r="AV29" s="118"/>
      <x:c r="AW29" s="118"/>
      <x:c r="AX29" s="118"/>
      <x:c r="AY29" s="118"/>
      <x:c r="AZ29" s="120"/>
      <x:c r="BA29" s="120"/>
      <x:c r="BB29" s="118"/>
      <x:c r="BC29" s="118"/>
      <x:c r="BD29" s="118"/>
      <x:c r="BE29" s="118"/>
      <x:c r="BF29" s="118"/>
      <x:c r="BG29" s="120"/>
      <x:c r="BH29" s="120"/>
      <x:c r="BI29" s="118"/>
      <x:c r="BJ29" s="118"/>
      <x:c r="BK29" s="118"/>
    </x:row>
    <x:row r="30" ht="18" customHeight="1">
      <x:c r="A30" s="101" t="str">
        <x:v>T-023</x:v>
      </x:c>
      <x:c r="B30" s="101" t="str">
        <x:v>P0</x:v>
      </x:c>
      <x:c r="C30" s="101" t="str">
        <x:v>문의 관리</x:v>
      </x:c>
      <x:c r="D30" s="101" t="str">
        <x:v>백엔드·데이터베이스</x:v>
      </x:c>
      <x:c r="E30" s="101" t="str">
        <x:v>최지용</x:v>
      </x:c>
      <x:c r="F30" s="101" t="str">
        <x:v>미착수</x:v>
      </x:c>
      <x:c r="G30" s="97" t="n">
        <x:v>46233</x:v>
      </x:c>
      <x:c r="H30" s="97" t="n">
        <x:v>46234</x:v>
      </x:c>
      <x:c r="I30" s="118"/>
      <x:c r="J30" s="120"/>
      <x:c r="K30" s="120"/>
      <x:c r="L30" s="118"/>
      <x:c r="M30" s="118"/>
      <x:c r="N30" s="118"/>
      <x:c r="O30" s="118"/>
      <x:c r="P30" s="118"/>
      <x:c r="Q30" s="120"/>
      <x:c r="R30" s="120"/>
      <x:c r="S30" s="118"/>
      <x:c r="T30" s="118"/>
      <x:c r="U30" s="118"/>
      <x:c r="V30" s="122"/>
      <x:c r="W30" s="122"/>
      <x:c r="X30" s="120"/>
      <x:c r="Y30" s="120"/>
      <x:c r="Z30" s="118"/>
      <x:c r="AA30" s="118"/>
      <x:c r="AB30" s="118"/>
      <x:c r="AC30" s="118"/>
      <x:c r="AD30" s="118"/>
      <x:c r="AE30" s="120"/>
      <x:c r="AF30" s="120"/>
      <x:c r="AG30" s="118"/>
      <x:c r="AH30" s="118"/>
      <x:c r="AI30" s="118"/>
      <x:c r="AJ30" s="118"/>
      <x:c r="AK30" s="118"/>
      <x:c r="AL30" s="120"/>
      <x:c r="AM30" s="120"/>
      <x:c r="AN30" s="118"/>
      <x:c r="AO30" s="118"/>
      <x:c r="AP30" s="118"/>
      <x:c r="AQ30" s="118"/>
      <x:c r="AR30" s="118"/>
      <x:c r="AS30" s="120"/>
      <x:c r="AT30" s="120"/>
      <x:c r="AU30" s="118"/>
      <x:c r="AV30" s="118"/>
      <x:c r="AW30" s="118"/>
      <x:c r="AX30" s="118"/>
      <x:c r="AY30" s="118"/>
      <x:c r="AZ30" s="120"/>
      <x:c r="BA30" s="120"/>
      <x:c r="BB30" s="118"/>
      <x:c r="BC30" s="118"/>
      <x:c r="BD30" s="118"/>
      <x:c r="BE30" s="118"/>
      <x:c r="BF30" s="118"/>
      <x:c r="BG30" s="120"/>
      <x:c r="BH30" s="120"/>
      <x:c r="BI30" s="118"/>
      <x:c r="BJ30" s="118"/>
      <x:c r="BK30" s="118"/>
    </x:row>
    <x:row r="31" ht="18" customHeight="1">
      <x:c r="A31" s="101" t="str">
        <x:v>T-024</x:v>
      </x:c>
      <x:c r="B31" s="101" t="str">
        <x:v>P0</x:v>
      </x:c>
      <x:c r="C31" s="101" t="str">
        <x:v>추적성 및 로그</x:v>
      </x:c>
      <x:c r="D31" s="101" t="str">
        <x:v>백엔드·데이터베이스</x:v>
      </x:c>
      <x:c r="E31" s="101" t="str">
        <x:v>최지용</x:v>
      </x:c>
      <x:c r="F31" s="101" t="str">
        <x:v>미착수</x:v>
      </x:c>
      <x:c r="G31" s="97" t="n">
        <x:v>46247</x:v>
      </x:c>
      <x:c r="H31" s="97" t="n">
        <x:v>46248</x:v>
      </x:c>
      <x:c r="I31" s="118"/>
      <x:c r="J31" s="120"/>
      <x:c r="K31" s="120"/>
      <x:c r="L31" s="118"/>
      <x:c r="M31" s="118"/>
      <x:c r="N31" s="118"/>
      <x:c r="O31" s="118"/>
      <x:c r="P31" s="118"/>
      <x:c r="Q31" s="120"/>
      <x:c r="R31" s="120"/>
      <x:c r="S31" s="118"/>
      <x:c r="T31" s="118"/>
      <x:c r="U31" s="118"/>
      <x:c r="V31" s="118"/>
      <x:c r="W31" s="118"/>
      <x:c r="X31" s="120"/>
      <x:c r="Y31" s="120"/>
      <x:c r="Z31" s="118"/>
      <x:c r="AA31" s="118"/>
      <x:c r="AB31" s="118"/>
      <x:c r="AC31" s="118"/>
      <x:c r="AD31" s="118"/>
      <x:c r="AE31" s="120"/>
      <x:c r="AF31" s="120"/>
      <x:c r="AG31" s="118"/>
      <x:c r="AH31" s="118"/>
      <x:c r="AI31" s="118"/>
      <x:c r="AJ31" s="122"/>
      <x:c r="AK31" s="122"/>
      <x:c r="AL31" s="120"/>
      <x:c r="AM31" s="120"/>
      <x:c r="AN31" s="118"/>
      <x:c r="AO31" s="118"/>
      <x:c r="AP31" s="118"/>
      <x:c r="AQ31" s="118"/>
      <x:c r="AR31" s="118"/>
      <x:c r="AS31" s="120"/>
      <x:c r="AT31" s="120"/>
      <x:c r="AU31" s="118"/>
      <x:c r="AV31" s="118"/>
      <x:c r="AW31" s="118"/>
      <x:c r="AX31" s="118"/>
      <x:c r="AY31" s="118"/>
      <x:c r="AZ31" s="120"/>
      <x:c r="BA31" s="120"/>
      <x:c r="BB31" s="118"/>
      <x:c r="BC31" s="118"/>
      <x:c r="BD31" s="118"/>
      <x:c r="BE31" s="118"/>
      <x:c r="BF31" s="118"/>
      <x:c r="BG31" s="120"/>
      <x:c r="BH31" s="120"/>
      <x:c r="BI31" s="118"/>
      <x:c r="BJ31" s="118"/>
      <x:c r="BK31" s="118"/>
    </x:row>
    <x:row r="32" ht="18" customHeight="1">
      <x:c r="A32" s="101" t="str">
        <x:v>T-025</x:v>
      </x:c>
      <x:c r="B32" s="101" t="str">
        <x:v>P0</x:v>
      </x:c>
      <x:c r="C32" s="101" t="str">
        <x:v>다중 에이전트 개발</x:v>
      </x:c>
      <x:c r="D32" s="101" t="str">
        <x:v>AI·RAG</x:v>
      </x:c>
      <x:c r="E32" s="101" t="str">
        <x:v>이동윤</x:v>
      </x:c>
      <x:c r="F32" s="101" t="str">
        <x:v>미착수</x:v>
      </x:c>
      <x:c r="G32" s="97" t="n">
        <x:v>46233</x:v>
      </x:c>
      <x:c r="H32" s="97" t="n">
        <x:v>46234</x:v>
      </x:c>
      <x:c r="I32" s="118"/>
      <x:c r="J32" s="120"/>
      <x:c r="K32" s="120"/>
      <x:c r="L32" s="118"/>
      <x:c r="M32" s="118"/>
      <x:c r="N32" s="118"/>
      <x:c r="O32" s="118"/>
      <x:c r="P32" s="118"/>
      <x:c r="Q32" s="120"/>
      <x:c r="R32" s="120"/>
      <x:c r="S32" s="118"/>
      <x:c r="T32" s="118"/>
      <x:c r="U32" s="118"/>
      <x:c r="V32" s="122"/>
      <x:c r="W32" s="122"/>
      <x:c r="X32" s="120"/>
      <x:c r="Y32" s="120"/>
      <x:c r="Z32" s="118"/>
      <x:c r="AA32" s="118"/>
      <x:c r="AB32" s="118"/>
      <x:c r="AC32" s="118"/>
      <x:c r="AD32" s="118"/>
      <x:c r="AE32" s="120"/>
      <x:c r="AF32" s="120"/>
      <x:c r="AG32" s="118"/>
      <x:c r="AH32" s="118"/>
      <x:c r="AI32" s="118"/>
      <x:c r="AJ32" s="118"/>
      <x:c r="AK32" s="118"/>
      <x:c r="AL32" s="120"/>
      <x:c r="AM32" s="120"/>
      <x:c r="AN32" s="118"/>
      <x:c r="AO32" s="118"/>
      <x:c r="AP32" s="118"/>
      <x:c r="AQ32" s="118"/>
      <x:c r="AR32" s="118"/>
      <x:c r="AS32" s="120"/>
      <x:c r="AT32" s="120"/>
      <x:c r="AU32" s="118"/>
      <x:c r="AV32" s="118"/>
      <x:c r="AW32" s="118"/>
      <x:c r="AX32" s="118"/>
      <x:c r="AY32" s="118"/>
      <x:c r="AZ32" s="120"/>
      <x:c r="BA32" s="120"/>
      <x:c r="BB32" s="118"/>
      <x:c r="BC32" s="118"/>
      <x:c r="BD32" s="118"/>
      <x:c r="BE32" s="118"/>
      <x:c r="BF32" s="118"/>
      <x:c r="BG32" s="120"/>
      <x:c r="BH32" s="120"/>
      <x:c r="BI32" s="118"/>
      <x:c r="BJ32" s="118"/>
      <x:c r="BK32" s="118"/>
    </x:row>
    <x:row r="33" ht="18" customHeight="1">
      <x:c r="A33" s="101" t="str">
        <x:v>T-026</x:v>
      </x:c>
      <x:c r="B33" s="101" t="str">
        <x:v>P0</x:v>
      </x:c>
      <x:c r="C33" s="101" t="str">
        <x:v>다중 에이전트 개발</x:v>
      </x:c>
      <x:c r="D33" s="101" t="str">
        <x:v>AI·RAG</x:v>
      </x:c>
      <x:c r="E33" s="101" t="str">
        <x:v>이동윤</x:v>
      </x:c>
      <x:c r="F33" s="101" t="str">
        <x:v>미착수</x:v>
      </x:c>
      <x:c r="G33" s="97" t="n">
        <x:v>46240</x:v>
      </x:c>
      <x:c r="H33" s="97" t="n">
        <x:v>46241</x:v>
      </x:c>
      <x:c r="I33" s="118"/>
      <x:c r="J33" s="120"/>
      <x:c r="K33" s="120"/>
      <x:c r="L33" s="118"/>
      <x:c r="M33" s="118"/>
      <x:c r="N33" s="118"/>
      <x:c r="O33" s="118"/>
      <x:c r="P33" s="118"/>
      <x:c r="Q33" s="120"/>
      <x:c r="R33" s="120"/>
      <x:c r="S33" s="118"/>
      <x:c r="T33" s="118"/>
      <x:c r="U33" s="118"/>
      <x:c r="V33" s="118"/>
      <x:c r="W33" s="118"/>
      <x:c r="X33" s="120"/>
      <x:c r="Y33" s="120"/>
      <x:c r="Z33" s="118"/>
      <x:c r="AA33" s="118"/>
      <x:c r="AB33" s="118"/>
      <x:c r="AC33" s="122"/>
      <x:c r="AD33" s="122"/>
      <x:c r="AE33" s="120"/>
      <x:c r="AF33" s="120"/>
      <x:c r="AG33" s="118"/>
      <x:c r="AH33" s="118"/>
      <x:c r="AI33" s="118"/>
      <x:c r="AJ33" s="118"/>
      <x:c r="AK33" s="118"/>
      <x:c r="AL33" s="120"/>
      <x:c r="AM33" s="120"/>
      <x:c r="AN33" s="118"/>
      <x:c r="AO33" s="118"/>
      <x:c r="AP33" s="118"/>
      <x:c r="AQ33" s="118"/>
      <x:c r="AR33" s="118"/>
      <x:c r="AS33" s="120"/>
      <x:c r="AT33" s="120"/>
      <x:c r="AU33" s="118"/>
      <x:c r="AV33" s="118"/>
      <x:c r="AW33" s="118"/>
      <x:c r="AX33" s="118"/>
      <x:c r="AY33" s="118"/>
      <x:c r="AZ33" s="120"/>
      <x:c r="BA33" s="120"/>
      <x:c r="BB33" s="118"/>
      <x:c r="BC33" s="118"/>
      <x:c r="BD33" s="118"/>
      <x:c r="BE33" s="118"/>
      <x:c r="BF33" s="118"/>
      <x:c r="BG33" s="120"/>
      <x:c r="BH33" s="120"/>
      <x:c r="BI33" s="118"/>
      <x:c r="BJ33" s="118"/>
      <x:c r="BK33" s="118"/>
    </x:row>
    <x:row r="34" ht="18" customHeight="1">
      <x:c r="A34" s="101" t="str">
        <x:v>T-027</x:v>
      </x:c>
      <x:c r="B34" s="101" t="str">
        <x:v>P0</x:v>
      </x:c>
      <x:c r="C34" s="101" t="str">
        <x:v>다중 에이전트 개발</x:v>
      </x:c>
      <x:c r="D34" s="101" t="str">
        <x:v>AI·RAG</x:v>
      </x:c>
      <x:c r="E34" s="101" t="str">
        <x:v>이동윤</x:v>
      </x:c>
      <x:c r="F34" s="101" t="str">
        <x:v>미착수</x:v>
      </x:c>
      <x:c r="G34" s="97" t="n">
        <x:v>46244</x:v>
      </x:c>
      <x:c r="H34" s="97" t="n">
        <x:v>46245</x:v>
      </x:c>
      <x:c r="I34" s="118"/>
      <x:c r="J34" s="120"/>
      <x:c r="K34" s="120"/>
      <x:c r="L34" s="118"/>
      <x:c r="M34" s="118"/>
      <x:c r="N34" s="118"/>
      <x:c r="O34" s="118"/>
      <x:c r="P34" s="118"/>
      <x:c r="Q34" s="120"/>
      <x:c r="R34" s="120"/>
      <x:c r="S34" s="118"/>
      <x:c r="T34" s="118"/>
      <x:c r="U34" s="118"/>
      <x:c r="V34" s="118"/>
      <x:c r="W34" s="118"/>
      <x:c r="X34" s="120"/>
      <x:c r="Y34" s="120"/>
      <x:c r="Z34" s="118"/>
      <x:c r="AA34" s="118"/>
      <x:c r="AB34" s="118"/>
      <x:c r="AC34" s="118"/>
      <x:c r="AD34" s="118"/>
      <x:c r="AE34" s="120"/>
      <x:c r="AF34" s="120"/>
      <x:c r="AG34" s="122"/>
      <x:c r="AH34" s="122"/>
      <x:c r="AI34" s="118"/>
      <x:c r="AJ34" s="118"/>
      <x:c r="AK34" s="118"/>
      <x:c r="AL34" s="120"/>
      <x:c r="AM34" s="120"/>
      <x:c r="AN34" s="118"/>
      <x:c r="AO34" s="118"/>
      <x:c r="AP34" s="118"/>
      <x:c r="AQ34" s="118"/>
      <x:c r="AR34" s="118"/>
      <x:c r="AS34" s="120"/>
      <x:c r="AT34" s="120"/>
      <x:c r="AU34" s="118"/>
      <x:c r="AV34" s="118"/>
      <x:c r="AW34" s="118"/>
      <x:c r="AX34" s="118"/>
      <x:c r="AY34" s="118"/>
      <x:c r="AZ34" s="120"/>
      <x:c r="BA34" s="120"/>
      <x:c r="BB34" s="118"/>
      <x:c r="BC34" s="118"/>
      <x:c r="BD34" s="118"/>
      <x:c r="BE34" s="118"/>
      <x:c r="BF34" s="118"/>
      <x:c r="BG34" s="120"/>
      <x:c r="BH34" s="120"/>
      <x:c r="BI34" s="118"/>
      <x:c r="BJ34" s="118"/>
      <x:c r="BK34" s="118"/>
    </x:row>
    <x:row r="35" ht="18" customHeight="1">
      <x:c r="A35" s="101" t="str">
        <x:v>T-028A</x:v>
      </x:c>
      <x:c r="B35" s="101" t="str">
        <x:v>P0</x:v>
      </x:c>
      <x:c r="C35" s="101" t="str">
        <x:v>AI·RAG 개발</x:v>
      </x:c>
      <x:c r="D35" s="101" t="str">
        <x:v>AI·RAG</x:v>
      </x:c>
      <x:c r="E35" s="101" t="str">
        <x:v>이동윤</x:v>
      </x:c>
      <x:c r="F35" s="101" t="str">
        <x:v>미착수</x:v>
      </x:c>
      <x:c r="G35" s="97" t="n">
        <x:v>46246</x:v>
      </x:c>
      <x:c r="H35" s="97" t="n">
        <x:v>46247</x:v>
      </x:c>
      <x:c r="I35" s="118"/>
      <x:c r="J35" s="120"/>
      <x:c r="K35" s="120"/>
      <x:c r="L35" s="118"/>
      <x:c r="M35" s="118"/>
      <x:c r="N35" s="118"/>
      <x:c r="O35" s="118"/>
      <x:c r="P35" s="118"/>
      <x:c r="Q35" s="120"/>
      <x:c r="R35" s="120"/>
      <x:c r="S35" s="118"/>
      <x:c r="T35" s="118"/>
      <x:c r="U35" s="118"/>
      <x:c r="V35" s="118"/>
      <x:c r="W35" s="118"/>
      <x:c r="X35" s="120"/>
      <x:c r="Y35" s="120"/>
      <x:c r="Z35" s="118"/>
      <x:c r="AA35" s="118"/>
      <x:c r="AB35" s="118"/>
      <x:c r="AC35" s="118"/>
      <x:c r="AD35" s="118"/>
      <x:c r="AE35" s="120"/>
      <x:c r="AF35" s="120"/>
      <x:c r="AG35" s="118"/>
      <x:c r="AH35" s="118"/>
      <x:c r="AI35" s="122"/>
      <x:c r="AJ35" s="122"/>
      <x:c r="AK35" s="118"/>
      <x:c r="AL35" s="120"/>
      <x:c r="AM35" s="120"/>
      <x:c r="AN35" s="118"/>
      <x:c r="AO35" s="118"/>
      <x:c r="AP35" s="118"/>
      <x:c r="AQ35" s="118"/>
      <x:c r="AR35" s="118"/>
      <x:c r="AS35" s="120"/>
      <x:c r="AT35" s="120"/>
      <x:c r="AU35" s="118"/>
      <x:c r="AV35" s="118"/>
      <x:c r="AW35" s="118"/>
      <x:c r="AX35" s="118"/>
      <x:c r="AY35" s="118"/>
      <x:c r="AZ35" s="120"/>
      <x:c r="BA35" s="120"/>
      <x:c r="BB35" s="118"/>
      <x:c r="BC35" s="118"/>
      <x:c r="BD35" s="118"/>
      <x:c r="BE35" s="118"/>
      <x:c r="BF35" s="118"/>
      <x:c r="BG35" s="120"/>
      <x:c r="BH35" s="120"/>
      <x:c r="BI35" s="118"/>
      <x:c r="BJ35" s="118"/>
      <x:c r="BK35" s="118"/>
    </x:row>
    <x:row r="36" ht="18" customHeight="1">
      <x:c r="A36" s="101" t="str">
        <x:v>T-028B</x:v>
      </x:c>
      <x:c r="B36" s="101" t="str">
        <x:v>P0</x:v>
      </x:c>
      <x:c r="C36" s="101" t="str">
        <x:v>공식 근거 응답 조립</x:v>
      </x:c>
      <x:c r="D36" s="101" t="str">
        <x:v>백엔드·데이터베이스</x:v>
      </x:c>
      <x:c r="E36" s="101" t="str">
        <x:v>최지용</x:v>
      </x:c>
      <x:c r="F36" s="101" t="str">
        <x:v>미착수</x:v>
      </x:c>
      <x:c r="G36" s="97" t="n">
        <x:v>46247</x:v>
      </x:c>
      <x:c r="H36" s="97" t="n">
        <x:v>46248</x:v>
      </x:c>
      <x:c r="I36" s="118"/>
      <x:c r="J36" s="120"/>
      <x:c r="K36" s="120"/>
      <x:c r="L36" s="118"/>
      <x:c r="M36" s="118"/>
      <x:c r="N36" s="118"/>
      <x:c r="O36" s="118"/>
      <x:c r="P36" s="118"/>
      <x:c r="Q36" s="120"/>
      <x:c r="R36" s="120"/>
      <x:c r="S36" s="118"/>
      <x:c r="T36" s="118"/>
      <x:c r="U36" s="118"/>
      <x:c r="V36" s="118"/>
      <x:c r="W36" s="118"/>
      <x:c r="X36" s="120"/>
      <x:c r="Y36" s="120"/>
      <x:c r="Z36" s="118"/>
      <x:c r="AA36" s="118"/>
      <x:c r="AB36" s="118"/>
      <x:c r="AC36" s="118"/>
      <x:c r="AD36" s="118"/>
      <x:c r="AE36" s="120"/>
      <x:c r="AF36" s="120"/>
      <x:c r="AG36" s="118"/>
      <x:c r="AH36" s="118"/>
      <x:c r="AI36" s="118"/>
      <x:c r="AJ36" s="122"/>
      <x:c r="AK36" s="122"/>
      <x:c r="AL36" s="120"/>
      <x:c r="AM36" s="120"/>
      <x:c r="AN36" s="118"/>
      <x:c r="AO36" s="118"/>
      <x:c r="AP36" s="118"/>
      <x:c r="AQ36" s="118"/>
      <x:c r="AR36" s="118"/>
      <x:c r="AS36" s="120"/>
      <x:c r="AT36" s="120"/>
      <x:c r="AU36" s="118"/>
      <x:c r="AV36" s="118"/>
      <x:c r="AW36" s="118"/>
      <x:c r="AX36" s="118"/>
      <x:c r="AY36" s="118"/>
      <x:c r="AZ36" s="120"/>
      <x:c r="BA36" s="120"/>
      <x:c r="BB36" s="118"/>
      <x:c r="BC36" s="118"/>
      <x:c r="BD36" s="118"/>
      <x:c r="BE36" s="118"/>
      <x:c r="BF36" s="118"/>
      <x:c r="BG36" s="120"/>
      <x:c r="BH36" s="120"/>
      <x:c r="BI36" s="118"/>
      <x:c r="BJ36" s="118"/>
      <x:c r="BK36" s="118"/>
    </x:row>
    <x:row r="37" ht="18" customHeight="1">
      <x:c r="A37" s="101" t="str">
        <x:v>T-029</x:v>
      </x:c>
      <x:c r="B37" s="101" t="str">
        <x:v>P0</x:v>
      </x:c>
      <x:c r="C37" s="101" t="str">
        <x:v>다중 에이전트 개발</x:v>
      </x:c>
      <x:c r="D37" s="101" t="str">
        <x:v>AI·RAG</x:v>
      </x:c>
      <x:c r="E37" s="101" t="str">
        <x:v>이동윤</x:v>
      </x:c>
      <x:c r="F37" s="101" t="str">
        <x:v>미착수</x:v>
      </x:c>
      <x:c r="G37" s="97" t="n">
        <x:v>46248</x:v>
      </x:c>
      <x:c r="H37" s="97" t="n">
        <x:v>46251</x:v>
      </x:c>
      <x:c r="I37" s="118"/>
      <x:c r="J37" s="120"/>
      <x:c r="K37" s="120"/>
      <x:c r="L37" s="118"/>
      <x:c r="M37" s="118"/>
      <x:c r="N37" s="118"/>
      <x:c r="O37" s="118"/>
      <x:c r="P37" s="118"/>
      <x:c r="Q37" s="120"/>
      <x:c r="R37" s="120"/>
      <x:c r="S37" s="118"/>
      <x:c r="T37" s="118"/>
      <x:c r="U37" s="118"/>
      <x:c r="V37" s="118"/>
      <x:c r="W37" s="118"/>
      <x:c r="X37" s="120"/>
      <x:c r="Y37" s="120"/>
      <x:c r="Z37" s="118"/>
      <x:c r="AA37" s="118"/>
      <x:c r="AB37" s="118"/>
      <x:c r="AC37" s="118"/>
      <x:c r="AD37" s="118"/>
      <x:c r="AE37" s="120"/>
      <x:c r="AF37" s="120"/>
      <x:c r="AG37" s="118"/>
      <x:c r="AH37" s="118"/>
      <x:c r="AI37" s="118"/>
      <x:c r="AJ37" s="118"/>
      <x:c r="AK37" s="122"/>
      <x:c r="AL37" s="122"/>
      <x:c r="AM37" s="122"/>
      <x:c r="AN37" s="122"/>
      <x:c r="AO37" s="118"/>
      <x:c r="AP37" s="118"/>
      <x:c r="AQ37" s="118"/>
      <x:c r="AR37" s="118"/>
      <x:c r="AS37" s="120"/>
      <x:c r="AT37" s="120"/>
      <x:c r="AU37" s="118"/>
      <x:c r="AV37" s="118"/>
      <x:c r="AW37" s="118"/>
      <x:c r="AX37" s="118"/>
      <x:c r="AY37" s="118"/>
      <x:c r="AZ37" s="120"/>
      <x:c r="BA37" s="120"/>
      <x:c r="BB37" s="118"/>
      <x:c r="BC37" s="118"/>
      <x:c r="BD37" s="118"/>
      <x:c r="BE37" s="118"/>
      <x:c r="BF37" s="118"/>
      <x:c r="BG37" s="120"/>
      <x:c r="BH37" s="120"/>
      <x:c r="BI37" s="118"/>
      <x:c r="BJ37" s="118"/>
      <x:c r="BK37" s="118"/>
    </x:row>
    <x:row r="38" ht="18" customHeight="1">
      <x:c r="A38" s="101" t="str">
        <x:v>T-030A</x:v>
      </x:c>
      <x:c r="B38" s="101" t="str">
        <x:v>P0</x:v>
      </x:c>
      <x:c r="C38" s="101" t="str">
        <x:v>역할별 결과 생성</x:v>
      </x:c>
      <x:c r="D38" s="101" t="str">
        <x:v>AI·RAG</x:v>
      </x:c>
      <x:c r="E38" s="101" t="str">
        <x:v>이동윤</x:v>
      </x:c>
      <x:c r="F38" s="101" t="str">
        <x:v>미착수</x:v>
      </x:c>
      <x:c r="G38" s="97" t="n">
        <x:v>46252</x:v>
      </x:c>
      <x:c r="H38" s="97" t="n">
        <x:v>46252</x:v>
      </x:c>
      <x:c r="I38" s="118"/>
      <x:c r="J38" s="120"/>
      <x:c r="K38" s="120"/>
      <x:c r="L38" s="118"/>
      <x:c r="M38" s="118"/>
      <x:c r="N38" s="118"/>
      <x:c r="O38" s="118"/>
      <x:c r="P38" s="118"/>
      <x:c r="Q38" s="120"/>
      <x:c r="R38" s="120"/>
      <x:c r="S38" s="118"/>
      <x:c r="T38" s="118"/>
      <x:c r="U38" s="118"/>
      <x:c r="V38" s="118"/>
      <x:c r="W38" s="118"/>
      <x:c r="X38" s="120"/>
      <x:c r="Y38" s="120"/>
      <x:c r="Z38" s="118"/>
      <x:c r="AA38" s="118"/>
      <x:c r="AB38" s="118"/>
      <x:c r="AC38" s="118"/>
      <x:c r="AD38" s="118"/>
      <x:c r="AE38" s="120"/>
      <x:c r="AF38" s="120"/>
      <x:c r="AG38" s="118"/>
      <x:c r="AH38" s="118"/>
      <x:c r="AI38" s="118"/>
      <x:c r="AJ38" s="118"/>
      <x:c r="AK38" s="118"/>
      <x:c r="AL38" s="120"/>
      <x:c r="AM38" s="120"/>
      <x:c r="AN38" s="118"/>
      <x:c r="AO38" s="122"/>
      <x:c r="AP38" s="118"/>
      <x:c r="AQ38" s="118"/>
      <x:c r="AR38" s="118"/>
      <x:c r="AS38" s="120"/>
      <x:c r="AT38" s="120"/>
      <x:c r="AU38" s="118"/>
      <x:c r="AV38" s="118"/>
      <x:c r="AW38" s="118"/>
      <x:c r="AX38" s="118"/>
      <x:c r="AY38" s="118"/>
      <x:c r="AZ38" s="120"/>
      <x:c r="BA38" s="120"/>
      <x:c r="BB38" s="118"/>
      <x:c r="BC38" s="118"/>
      <x:c r="BD38" s="118"/>
      <x:c r="BE38" s="118"/>
      <x:c r="BF38" s="118"/>
      <x:c r="BG38" s="120"/>
      <x:c r="BH38" s="120"/>
      <x:c r="BI38" s="118"/>
      <x:c r="BJ38" s="118"/>
      <x:c r="BK38" s="118"/>
    </x:row>
    <x:row r="39" ht="18" customHeight="1">
      <x:c r="A39" s="101" t="str">
        <x:v>T-030B</x:v>
      </x:c>
      <x:c r="B39" s="101" t="str">
        <x:v>P0</x:v>
      </x:c>
      <x:c r="C39" s="101" t="str">
        <x:v>역할별 결과 생성</x:v>
      </x:c>
      <x:c r="D39" s="101" t="str">
        <x:v>AI·RAG</x:v>
      </x:c>
      <x:c r="E39" s="101" t="str">
        <x:v>이동윤</x:v>
      </x:c>
      <x:c r="F39" s="101" t="str">
        <x:v>미착수</x:v>
      </x:c>
      <x:c r="G39" s="97" t="n">
        <x:v>46253</x:v>
      </x:c>
      <x:c r="H39" s="97" t="n">
        <x:v>46253</x:v>
      </x:c>
      <x:c r="I39" s="118"/>
      <x:c r="J39" s="120"/>
      <x:c r="K39" s="120"/>
      <x:c r="L39" s="118"/>
      <x:c r="M39" s="118"/>
      <x:c r="N39" s="118"/>
      <x:c r="O39" s="118"/>
      <x:c r="P39" s="118"/>
      <x:c r="Q39" s="120"/>
      <x:c r="R39" s="120"/>
      <x:c r="S39" s="118"/>
      <x:c r="T39" s="118"/>
      <x:c r="U39" s="118"/>
      <x:c r="V39" s="118"/>
      <x:c r="W39" s="118"/>
      <x:c r="X39" s="120"/>
      <x:c r="Y39" s="120"/>
      <x:c r="Z39" s="118"/>
      <x:c r="AA39" s="118"/>
      <x:c r="AB39" s="118"/>
      <x:c r="AC39" s="118"/>
      <x:c r="AD39" s="118"/>
      <x:c r="AE39" s="120"/>
      <x:c r="AF39" s="120"/>
      <x:c r="AG39" s="118"/>
      <x:c r="AH39" s="118"/>
      <x:c r="AI39" s="118"/>
      <x:c r="AJ39" s="118"/>
      <x:c r="AK39" s="118"/>
      <x:c r="AL39" s="120"/>
      <x:c r="AM39" s="120"/>
      <x:c r="AN39" s="118"/>
      <x:c r="AO39" s="118"/>
      <x:c r="AP39" s="122"/>
      <x:c r="AQ39" s="118"/>
      <x:c r="AR39" s="118"/>
      <x:c r="AS39" s="120"/>
      <x:c r="AT39" s="120"/>
      <x:c r="AU39" s="118"/>
      <x:c r="AV39" s="118"/>
      <x:c r="AW39" s="118"/>
      <x:c r="AX39" s="118"/>
      <x:c r="AY39" s="118"/>
      <x:c r="AZ39" s="120"/>
      <x:c r="BA39" s="120"/>
      <x:c r="BB39" s="118"/>
      <x:c r="BC39" s="118"/>
      <x:c r="BD39" s="118"/>
      <x:c r="BE39" s="118"/>
      <x:c r="BF39" s="118"/>
      <x:c r="BG39" s="120"/>
      <x:c r="BH39" s="120"/>
      <x:c r="BI39" s="118"/>
      <x:c r="BJ39" s="118"/>
      <x:c r="BK39" s="118"/>
    </x:row>
    <x:row r="40" ht="18" customHeight="1">
      <x:c r="A40" s="101" t="str">
        <x:v>T-030C</x:v>
      </x:c>
      <x:c r="B40" s="101" t="str">
        <x:v>P0</x:v>
      </x:c>
      <x:c r="C40" s="101" t="str">
        <x:v>역할별 결과 검증</x:v>
      </x:c>
      <x:c r="D40" s="101" t="str">
        <x:v>AI·RAG</x:v>
      </x:c>
      <x:c r="E40" s="101" t="str">
        <x:v>이동윤</x:v>
      </x:c>
      <x:c r="F40" s="101" t="str">
        <x:v>미착수</x:v>
      </x:c>
      <x:c r="G40" s="97" t="n">
        <x:v>46254</x:v>
      </x:c>
      <x:c r="H40" s="97" t="n">
        <x:v>46254</x:v>
      </x:c>
      <x:c r="I40" s="118"/>
      <x:c r="J40" s="120"/>
      <x:c r="K40" s="120"/>
      <x:c r="L40" s="118"/>
      <x:c r="M40" s="118"/>
      <x:c r="N40" s="118"/>
      <x:c r="O40" s="118"/>
      <x:c r="P40" s="118"/>
      <x:c r="Q40" s="120"/>
      <x:c r="R40" s="120"/>
      <x:c r="S40" s="118"/>
      <x:c r="T40" s="118"/>
      <x:c r="U40" s="118"/>
      <x:c r="V40" s="118"/>
      <x:c r="W40" s="118"/>
      <x:c r="X40" s="120"/>
      <x:c r="Y40" s="120"/>
      <x:c r="Z40" s="118"/>
      <x:c r="AA40" s="118"/>
      <x:c r="AB40" s="118"/>
      <x:c r="AC40" s="118"/>
      <x:c r="AD40" s="118"/>
      <x:c r="AE40" s="120"/>
      <x:c r="AF40" s="120"/>
      <x:c r="AG40" s="118"/>
      <x:c r="AH40" s="118"/>
      <x:c r="AI40" s="118"/>
      <x:c r="AJ40" s="118"/>
      <x:c r="AK40" s="118"/>
      <x:c r="AL40" s="120"/>
      <x:c r="AM40" s="120"/>
      <x:c r="AN40" s="118"/>
      <x:c r="AO40" s="118"/>
      <x:c r="AP40" s="118"/>
      <x:c r="AQ40" s="122"/>
      <x:c r="AR40" s="118"/>
      <x:c r="AS40" s="120"/>
      <x:c r="AT40" s="120"/>
      <x:c r="AU40" s="118"/>
      <x:c r="AV40" s="118"/>
      <x:c r="AW40" s="118"/>
      <x:c r="AX40" s="118"/>
      <x:c r="AY40" s="118"/>
      <x:c r="AZ40" s="120"/>
      <x:c r="BA40" s="120"/>
      <x:c r="BB40" s="118"/>
      <x:c r="BC40" s="118"/>
      <x:c r="BD40" s="118"/>
      <x:c r="BE40" s="118"/>
      <x:c r="BF40" s="118"/>
      <x:c r="BG40" s="120"/>
      <x:c r="BH40" s="120"/>
      <x:c r="BI40" s="118"/>
      <x:c r="BJ40" s="118"/>
      <x:c r="BK40" s="118"/>
    </x:row>
    <x:row r="41" ht="18" customHeight="1">
      <x:c r="A41" s="101" t="str">
        <x:v>T-031</x:v>
      </x:c>
      <x:c r="B41" s="101" t="str">
        <x:v>P0</x:v>
      </x:c>
      <x:c r="C41" s="101" t="str">
        <x:v>AI 안전성</x:v>
      </x:c>
      <x:c r="D41" s="101" t="str">
        <x:v>AI·RAG</x:v>
      </x:c>
      <x:c r="E41" s="101" t="str">
        <x:v>이동윤</x:v>
      </x:c>
      <x:c r="F41" s="101" t="str">
        <x:v>미착수</x:v>
      </x:c>
      <x:c r="G41" s="97" t="n">
        <x:v>46254</x:v>
      </x:c>
      <x:c r="H41" s="97" t="n">
        <x:v>46254</x:v>
      </x:c>
      <x:c r="I41" s="118"/>
      <x:c r="J41" s="120"/>
      <x:c r="K41" s="120"/>
      <x:c r="L41" s="118"/>
      <x:c r="M41" s="118"/>
      <x:c r="N41" s="118"/>
      <x:c r="O41" s="118"/>
      <x:c r="P41" s="118"/>
      <x:c r="Q41" s="120"/>
      <x:c r="R41" s="120"/>
      <x:c r="S41" s="118"/>
      <x:c r="T41" s="118"/>
      <x:c r="U41" s="118"/>
      <x:c r="V41" s="118"/>
      <x:c r="W41" s="118"/>
      <x:c r="X41" s="120"/>
      <x:c r="Y41" s="120"/>
      <x:c r="Z41" s="118"/>
      <x:c r="AA41" s="118"/>
      <x:c r="AB41" s="118"/>
      <x:c r="AC41" s="118"/>
      <x:c r="AD41" s="118"/>
      <x:c r="AE41" s="120"/>
      <x:c r="AF41" s="120"/>
      <x:c r="AG41" s="118"/>
      <x:c r="AH41" s="118"/>
      <x:c r="AI41" s="118"/>
      <x:c r="AJ41" s="118"/>
      <x:c r="AK41" s="118"/>
      <x:c r="AL41" s="120"/>
      <x:c r="AM41" s="120"/>
      <x:c r="AN41" s="118"/>
      <x:c r="AO41" s="118"/>
      <x:c r="AP41" s="118"/>
      <x:c r="AQ41" s="122"/>
      <x:c r="AR41" s="118"/>
      <x:c r="AS41" s="120"/>
      <x:c r="AT41" s="120"/>
      <x:c r="AU41" s="118"/>
      <x:c r="AV41" s="118"/>
      <x:c r="AW41" s="118"/>
      <x:c r="AX41" s="118"/>
      <x:c r="AY41" s="118"/>
      <x:c r="AZ41" s="120"/>
      <x:c r="BA41" s="120"/>
      <x:c r="BB41" s="118"/>
      <x:c r="BC41" s="118"/>
      <x:c r="BD41" s="118"/>
      <x:c r="BE41" s="118"/>
      <x:c r="BF41" s="118"/>
      <x:c r="BG41" s="120"/>
      <x:c r="BH41" s="120"/>
      <x:c r="BI41" s="118"/>
      <x:c r="BJ41" s="118"/>
      <x:c r="BK41" s="118"/>
    </x:row>
    <x:row r="42" ht="18" customHeight="1">
      <x:c r="A42" s="101" t="str">
        <x:v>T-032</x:v>
      </x:c>
      <x:c r="B42" s="101" t="str">
        <x:v>P0</x:v>
      </x:c>
      <x:c r="C42" s="101" t="str">
        <x:v>AI 안정성</x:v>
      </x:c>
      <x:c r="D42" s="101" t="str">
        <x:v>AI·RAG</x:v>
      </x:c>
      <x:c r="E42" s="101" t="str">
        <x:v>이동윤</x:v>
      </x:c>
      <x:c r="F42" s="101" t="str">
        <x:v>미착수</x:v>
      </x:c>
      <x:c r="G42" s="97" t="n">
        <x:v>46238</x:v>
      </x:c>
      <x:c r="H42" s="97" t="n">
        <x:v>46239</x:v>
      </x:c>
      <x:c r="I42" s="118"/>
      <x:c r="J42" s="120"/>
      <x:c r="K42" s="120"/>
      <x:c r="L42" s="118"/>
      <x:c r="M42" s="118"/>
      <x:c r="N42" s="118"/>
      <x:c r="O42" s="118"/>
      <x:c r="P42" s="118"/>
      <x:c r="Q42" s="120"/>
      <x:c r="R42" s="120"/>
      <x:c r="S42" s="118"/>
      <x:c r="T42" s="118"/>
      <x:c r="U42" s="118"/>
      <x:c r="V42" s="118"/>
      <x:c r="W42" s="118"/>
      <x:c r="X42" s="120"/>
      <x:c r="Y42" s="120"/>
      <x:c r="Z42" s="118"/>
      <x:c r="AA42" s="122"/>
      <x:c r="AB42" s="122"/>
      <x:c r="AC42" s="118"/>
      <x:c r="AD42" s="118"/>
      <x:c r="AE42" s="120"/>
      <x:c r="AF42" s="120"/>
      <x:c r="AG42" s="118"/>
      <x:c r="AH42" s="118"/>
      <x:c r="AI42" s="118"/>
      <x:c r="AJ42" s="118"/>
      <x:c r="AK42" s="118"/>
      <x:c r="AL42" s="120"/>
      <x:c r="AM42" s="120"/>
      <x:c r="AN42" s="118"/>
      <x:c r="AO42" s="118"/>
      <x:c r="AP42" s="118"/>
      <x:c r="AQ42" s="118"/>
      <x:c r="AR42" s="118"/>
      <x:c r="AS42" s="120"/>
      <x:c r="AT42" s="120"/>
      <x:c r="AU42" s="118"/>
      <x:c r="AV42" s="118"/>
      <x:c r="AW42" s="118"/>
      <x:c r="AX42" s="118"/>
      <x:c r="AY42" s="118"/>
      <x:c r="AZ42" s="120"/>
      <x:c r="BA42" s="120"/>
      <x:c r="BB42" s="118"/>
      <x:c r="BC42" s="118"/>
      <x:c r="BD42" s="118"/>
      <x:c r="BE42" s="118"/>
      <x:c r="BF42" s="118"/>
      <x:c r="BG42" s="120"/>
      <x:c r="BH42" s="120"/>
      <x:c r="BI42" s="118"/>
      <x:c r="BJ42" s="118"/>
      <x:c r="BK42" s="118"/>
    </x:row>
    <x:row r="43" ht="18" customHeight="1">
      <x:c r="A43" s="101" t="str">
        <x:v>T-033</x:v>
      </x:c>
      <x:c r="B43" s="101" t="str">
        <x:v>P0</x:v>
      </x:c>
      <x:c r="C43" s="101" t="str">
        <x:v>고객 화면 개발</x:v>
      </x:c>
      <x:c r="D43" s="101" t="str">
        <x:v>모바일 앱 개발</x:v>
      </x:c>
      <x:c r="E43" s="101" t="str">
        <x:v>양정현</x:v>
      </x:c>
      <x:c r="F43" s="101" t="str">
        <x:v>미착수</x:v>
      </x:c>
      <x:c r="G43" s="97" t="n">
        <x:v>46245</x:v>
      </x:c>
      <x:c r="H43" s="97" t="n">
        <x:v>46246</x:v>
      </x:c>
      <x:c r="I43" s="118"/>
      <x:c r="J43" s="120"/>
      <x:c r="K43" s="120"/>
      <x:c r="L43" s="118"/>
      <x:c r="M43" s="118"/>
      <x:c r="N43" s="118"/>
      <x:c r="O43" s="118"/>
      <x:c r="P43" s="118"/>
      <x:c r="Q43" s="120"/>
      <x:c r="R43" s="120"/>
      <x:c r="S43" s="118"/>
      <x:c r="T43" s="118"/>
      <x:c r="U43" s="118"/>
      <x:c r="V43" s="118"/>
      <x:c r="W43" s="118"/>
      <x:c r="X43" s="120"/>
      <x:c r="Y43" s="120"/>
      <x:c r="Z43" s="118"/>
      <x:c r="AA43" s="118"/>
      <x:c r="AB43" s="118"/>
      <x:c r="AC43" s="118"/>
      <x:c r="AD43" s="118"/>
      <x:c r="AE43" s="120"/>
      <x:c r="AF43" s="120"/>
      <x:c r="AG43" s="118"/>
      <x:c r="AH43" s="122"/>
      <x:c r="AI43" s="122"/>
      <x:c r="AJ43" s="118"/>
      <x:c r="AK43" s="118"/>
      <x:c r="AL43" s="120"/>
      <x:c r="AM43" s="120"/>
      <x:c r="AN43" s="118"/>
      <x:c r="AO43" s="118"/>
      <x:c r="AP43" s="118"/>
      <x:c r="AQ43" s="118"/>
      <x:c r="AR43" s="118"/>
      <x:c r="AS43" s="120"/>
      <x:c r="AT43" s="120"/>
      <x:c r="AU43" s="118"/>
      <x:c r="AV43" s="118"/>
      <x:c r="AW43" s="118"/>
      <x:c r="AX43" s="118"/>
      <x:c r="AY43" s="118"/>
      <x:c r="AZ43" s="120"/>
      <x:c r="BA43" s="120"/>
      <x:c r="BB43" s="118"/>
      <x:c r="BC43" s="118"/>
      <x:c r="BD43" s="118"/>
      <x:c r="BE43" s="118"/>
      <x:c r="BF43" s="118"/>
      <x:c r="BG43" s="120"/>
      <x:c r="BH43" s="120"/>
      <x:c r="BI43" s="118"/>
      <x:c r="BJ43" s="118"/>
      <x:c r="BK43" s="118"/>
    </x:row>
    <x:row r="44" ht="18" customHeight="1">
      <x:c r="A44" s="101" t="str">
        <x:v>T-034</x:v>
      </x:c>
      <x:c r="B44" s="101" t="str">
        <x:v>P0</x:v>
      </x:c>
      <x:c r="C44" s="101" t="str">
        <x:v>고객 화면 개발</x:v>
      </x:c>
      <x:c r="D44" s="101" t="str">
        <x:v>모바일 앱 개발</x:v>
      </x:c>
      <x:c r="E44" s="101" t="str">
        <x:v>양정현</x:v>
      </x:c>
      <x:c r="F44" s="101" t="str">
        <x:v>미착수</x:v>
      </x:c>
      <x:c r="G44" s="97" t="n">
        <x:v>46247</x:v>
      </x:c>
      <x:c r="H44" s="97" t="n">
        <x:v>46248</x:v>
      </x:c>
      <x:c r="I44" s="118"/>
      <x:c r="J44" s="120"/>
      <x:c r="K44" s="120"/>
      <x:c r="L44" s="118"/>
      <x:c r="M44" s="118"/>
      <x:c r="N44" s="118"/>
      <x:c r="O44" s="118"/>
      <x:c r="P44" s="118"/>
      <x:c r="Q44" s="120"/>
      <x:c r="R44" s="120"/>
      <x:c r="S44" s="118"/>
      <x:c r="T44" s="118"/>
      <x:c r="U44" s="118"/>
      <x:c r="V44" s="118"/>
      <x:c r="W44" s="118"/>
      <x:c r="X44" s="120"/>
      <x:c r="Y44" s="120"/>
      <x:c r="Z44" s="118"/>
      <x:c r="AA44" s="118"/>
      <x:c r="AB44" s="118"/>
      <x:c r="AC44" s="118"/>
      <x:c r="AD44" s="118"/>
      <x:c r="AE44" s="120"/>
      <x:c r="AF44" s="120"/>
      <x:c r="AG44" s="118"/>
      <x:c r="AH44" s="118"/>
      <x:c r="AI44" s="118"/>
      <x:c r="AJ44" s="122"/>
      <x:c r="AK44" s="122"/>
      <x:c r="AL44" s="120"/>
      <x:c r="AM44" s="120"/>
      <x:c r="AN44" s="118"/>
      <x:c r="AO44" s="118"/>
      <x:c r="AP44" s="118"/>
      <x:c r="AQ44" s="118"/>
      <x:c r="AR44" s="118"/>
      <x:c r="AS44" s="120"/>
      <x:c r="AT44" s="120"/>
      <x:c r="AU44" s="118"/>
      <x:c r="AV44" s="118"/>
      <x:c r="AW44" s="118"/>
      <x:c r="AX44" s="118"/>
      <x:c r="AY44" s="118"/>
      <x:c r="AZ44" s="120"/>
      <x:c r="BA44" s="120"/>
      <x:c r="BB44" s="118"/>
      <x:c r="BC44" s="118"/>
      <x:c r="BD44" s="118"/>
      <x:c r="BE44" s="118"/>
      <x:c r="BF44" s="118"/>
      <x:c r="BG44" s="120"/>
      <x:c r="BH44" s="120"/>
      <x:c r="BI44" s="118"/>
      <x:c r="BJ44" s="118"/>
      <x:c r="BK44" s="118"/>
    </x:row>
    <x:row r="45" ht="18" customHeight="1">
      <x:c r="A45" s="101" t="str">
        <x:v>T-035</x:v>
      </x:c>
      <x:c r="B45" s="101" t="str">
        <x:v>P0</x:v>
      </x:c>
      <x:c r="C45" s="101" t="str">
        <x:v>고객 화면 개발</x:v>
      </x:c>
      <x:c r="D45" s="101" t="str">
        <x:v>모바일 앱 개발</x:v>
      </x:c>
      <x:c r="E45" s="101" t="str">
        <x:v>양정현</x:v>
      </x:c>
      <x:c r="F45" s="101" t="str">
        <x:v>미착수</x:v>
      </x:c>
      <x:c r="G45" s="97" t="n">
        <x:v>46251</x:v>
      </x:c>
      <x:c r="H45" s="97" t="n">
        <x:v>46252</x:v>
      </x:c>
      <x:c r="I45" s="118"/>
      <x:c r="J45" s="120"/>
      <x:c r="K45" s="120"/>
      <x:c r="L45" s="118"/>
      <x:c r="M45" s="118"/>
      <x:c r="N45" s="118"/>
      <x:c r="O45" s="118"/>
      <x:c r="P45" s="118"/>
      <x:c r="Q45" s="120"/>
      <x:c r="R45" s="120"/>
      <x:c r="S45" s="118"/>
      <x:c r="T45" s="118"/>
      <x:c r="U45" s="118"/>
      <x:c r="V45" s="118"/>
      <x:c r="W45" s="118"/>
      <x:c r="X45" s="120"/>
      <x:c r="Y45" s="120"/>
      <x:c r="Z45" s="118"/>
      <x:c r="AA45" s="118"/>
      <x:c r="AB45" s="118"/>
      <x:c r="AC45" s="118"/>
      <x:c r="AD45" s="118"/>
      <x:c r="AE45" s="120"/>
      <x:c r="AF45" s="120"/>
      <x:c r="AG45" s="118"/>
      <x:c r="AH45" s="118"/>
      <x:c r="AI45" s="118"/>
      <x:c r="AJ45" s="118"/>
      <x:c r="AK45" s="118"/>
      <x:c r="AL45" s="120"/>
      <x:c r="AM45" s="120"/>
      <x:c r="AN45" s="122"/>
      <x:c r="AO45" s="122"/>
      <x:c r="AP45" s="118"/>
      <x:c r="AQ45" s="118"/>
      <x:c r="AR45" s="118"/>
      <x:c r="AS45" s="120"/>
      <x:c r="AT45" s="120"/>
      <x:c r="AU45" s="118"/>
      <x:c r="AV45" s="118"/>
      <x:c r="AW45" s="118"/>
      <x:c r="AX45" s="118"/>
      <x:c r="AY45" s="118"/>
      <x:c r="AZ45" s="120"/>
      <x:c r="BA45" s="120"/>
      <x:c r="BB45" s="118"/>
      <x:c r="BC45" s="118"/>
      <x:c r="BD45" s="118"/>
      <x:c r="BE45" s="118"/>
      <x:c r="BF45" s="118"/>
      <x:c r="BG45" s="120"/>
      <x:c r="BH45" s="120"/>
      <x:c r="BI45" s="118"/>
      <x:c r="BJ45" s="118"/>
      <x:c r="BK45" s="118"/>
    </x:row>
    <x:row r="46" ht="18" customHeight="1">
      <x:c r="A46" s="101" t="str">
        <x:v>T-036</x:v>
      </x:c>
      <x:c r="B46" s="101" t="str">
        <x:v>P0</x:v>
      </x:c>
      <x:c r="C46" s="101" t="str">
        <x:v>고객 화면 개발</x:v>
      </x:c>
      <x:c r="D46" s="101" t="str">
        <x:v>모바일 앱 개발</x:v>
      </x:c>
      <x:c r="E46" s="101" t="str">
        <x:v>양정현</x:v>
      </x:c>
      <x:c r="F46" s="101" t="str">
        <x:v>미착수</x:v>
      </x:c>
      <x:c r="G46" s="97" t="n">
        <x:v>46253</x:v>
      </x:c>
      <x:c r="H46" s="97" t="n">
        <x:v>46254</x:v>
      </x:c>
      <x:c r="I46" s="118"/>
      <x:c r="J46" s="120"/>
      <x:c r="K46" s="120"/>
      <x:c r="L46" s="118"/>
      <x:c r="M46" s="118"/>
      <x:c r="N46" s="118"/>
      <x:c r="O46" s="118"/>
      <x:c r="P46" s="118"/>
      <x:c r="Q46" s="120"/>
      <x:c r="R46" s="120"/>
      <x:c r="S46" s="118"/>
      <x:c r="T46" s="118"/>
      <x:c r="U46" s="118"/>
      <x:c r="V46" s="118"/>
      <x:c r="W46" s="118"/>
      <x:c r="X46" s="120"/>
      <x:c r="Y46" s="120"/>
      <x:c r="Z46" s="118"/>
      <x:c r="AA46" s="118"/>
      <x:c r="AB46" s="118"/>
      <x:c r="AC46" s="118"/>
      <x:c r="AD46" s="118"/>
      <x:c r="AE46" s="120"/>
      <x:c r="AF46" s="120"/>
      <x:c r="AG46" s="118"/>
      <x:c r="AH46" s="118"/>
      <x:c r="AI46" s="118"/>
      <x:c r="AJ46" s="118"/>
      <x:c r="AK46" s="118"/>
      <x:c r="AL46" s="120"/>
      <x:c r="AM46" s="120"/>
      <x:c r="AN46" s="118"/>
      <x:c r="AO46" s="118"/>
      <x:c r="AP46" s="122"/>
      <x:c r="AQ46" s="122"/>
      <x:c r="AR46" s="118"/>
      <x:c r="AS46" s="120"/>
      <x:c r="AT46" s="120"/>
      <x:c r="AU46" s="118"/>
      <x:c r="AV46" s="118"/>
      <x:c r="AW46" s="118"/>
      <x:c r="AX46" s="118"/>
      <x:c r="AY46" s="118"/>
      <x:c r="AZ46" s="120"/>
      <x:c r="BA46" s="120"/>
      <x:c r="BB46" s="118"/>
      <x:c r="BC46" s="118"/>
      <x:c r="BD46" s="118"/>
      <x:c r="BE46" s="118"/>
      <x:c r="BF46" s="118"/>
      <x:c r="BG46" s="120"/>
      <x:c r="BH46" s="120"/>
      <x:c r="BI46" s="118"/>
      <x:c r="BJ46" s="118"/>
      <x:c r="BK46" s="118"/>
    </x:row>
    <x:row r="47" ht="18" customHeight="1">
      <x:c r="A47" s="101" t="str">
        <x:v>T-037</x:v>
      </x:c>
      <x:c r="B47" s="101" t="str">
        <x:v>P0</x:v>
      </x:c>
      <x:c r="C47" s="101" t="str">
        <x:v>고객 화면 개발</x:v>
      </x:c>
      <x:c r="D47" s="101" t="str">
        <x:v>모바일 앱 개발</x:v>
      </x:c>
      <x:c r="E47" s="101" t="str">
        <x:v>양정현</x:v>
      </x:c>
      <x:c r="F47" s="101" t="str">
        <x:v>미착수</x:v>
      </x:c>
      <x:c r="G47" s="97" t="n">
        <x:v>46246</x:v>
      </x:c>
      <x:c r="H47" s="97" t="n">
        <x:v>46247</x:v>
      </x:c>
      <x:c r="I47" s="118"/>
      <x:c r="J47" s="120"/>
      <x:c r="K47" s="120"/>
      <x:c r="L47" s="118"/>
      <x:c r="M47" s="118"/>
      <x:c r="N47" s="118"/>
      <x:c r="O47" s="118"/>
      <x:c r="P47" s="118"/>
      <x:c r="Q47" s="120"/>
      <x:c r="R47" s="120"/>
      <x:c r="S47" s="118"/>
      <x:c r="T47" s="118"/>
      <x:c r="U47" s="118"/>
      <x:c r="V47" s="118"/>
      <x:c r="W47" s="118"/>
      <x:c r="X47" s="120"/>
      <x:c r="Y47" s="120"/>
      <x:c r="Z47" s="118"/>
      <x:c r="AA47" s="118"/>
      <x:c r="AB47" s="118"/>
      <x:c r="AC47" s="118"/>
      <x:c r="AD47" s="118"/>
      <x:c r="AE47" s="120"/>
      <x:c r="AF47" s="120"/>
      <x:c r="AG47" s="118"/>
      <x:c r="AH47" s="118"/>
      <x:c r="AI47" s="122"/>
      <x:c r="AJ47" s="122"/>
      <x:c r="AK47" s="118"/>
      <x:c r="AL47" s="120"/>
      <x:c r="AM47" s="120"/>
      <x:c r="AN47" s="118"/>
      <x:c r="AO47" s="118"/>
      <x:c r="AP47" s="118"/>
      <x:c r="AQ47" s="118"/>
      <x:c r="AR47" s="118"/>
      <x:c r="AS47" s="120"/>
      <x:c r="AT47" s="120"/>
      <x:c r="AU47" s="118"/>
      <x:c r="AV47" s="118"/>
      <x:c r="AW47" s="118"/>
      <x:c r="AX47" s="118"/>
      <x:c r="AY47" s="118"/>
      <x:c r="AZ47" s="120"/>
      <x:c r="BA47" s="120"/>
      <x:c r="BB47" s="118"/>
      <x:c r="BC47" s="118"/>
      <x:c r="BD47" s="118"/>
      <x:c r="BE47" s="118"/>
      <x:c r="BF47" s="118"/>
      <x:c r="BG47" s="120"/>
      <x:c r="BH47" s="120"/>
      <x:c r="BI47" s="118"/>
      <x:c r="BJ47" s="118"/>
      <x:c r="BK47" s="118"/>
    </x:row>
    <x:row r="48" ht="18" customHeight="1">
      <x:c r="A48" s="101" t="str">
        <x:v>T-038</x:v>
      </x:c>
      <x:c r="B48" s="101" t="str">
        <x:v>P0</x:v>
      </x:c>
      <x:c r="C48" s="101" t="str">
        <x:v>상담사 화면 개발</x:v>
      </x:c>
      <x:c r="D48" s="101" t="str">
        <x:v>웹 프론트엔드</x:v>
      </x:c>
      <x:c r="E48" s="101" t="str">
        <x:v>한예나</x:v>
      </x:c>
      <x:c r="F48" s="101" t="str">
        <x:v>미착수</x:v>
      </x:c>
      <x:c r="G48" s="97" t="n">
        <x:v>46230</x:v>
      </x:c>
      <x:c r="H48" s="97" t="n">
        <x:v>46231</x:v>
      </x:c>
      <x:c r="I48" s="118"/>
      <x:c r="J48" s="120"/>
      <x:c r="K48" s="120"/>
      <x:c r="L48" s="118"/>
      <x:c r="M48" s="118"/>
      <x:c r="N48" s="118"/>
      <x:c r="O48" s="118"/>
      <x:c r="P48" s="118"/>
      <x:c r="Q48" s="120"/>
      <x:c r="R48" s="120"/>
      <x:c r="S48" s="122"/>
      <x:c r="T48" s="122"/>
      <x:c r="U48" s="118"/>
      <x:c r="V48" s="118"/>
      <x:c r="W48" s="118"/>
      <x:c r="X48" s="120"/>
      <x:c r="Y48" s="120"/>
      <x:c r="Z48" s="118"/>
      <x:c r="AA48" s="118"/>
      <x:c r="AB48" s="118"/>
      <x:c r="AC48" s="118"/>
      <x:c r="AD48" s="118"/>
      <x:c r="AE48" s="120"/>
      <x:c r="AF48" s="120"/>
      <x:c r="AG48" s="118"/>
      <x:c r="AH48" s="118"/>
      <x:c r="AI48" s="118"/>
      <x:c r="AJ48" s="118"/>
      <x:c r="AK48" s="118"/>
      <x:c r="AL48" s="120"/>
      <x:c r="AM48" s="120"/>
      <x:c r="AN48" s="118"/>
      <x:c r="AO48" s="118"/>
      <x:c r="AP48" s="118"/>
      <x:c r="AQ48" s="118"/>
      <x:c r="AR48" s="118"/>
      <x:c r="AS48" s="120"/>
      <x:c r="AT48" s="120"/>
      <x:c r="AU48" s="118"/>
      <x:c r="AV48" s="118"/>
      <x:c r="AW48" s="118"/>
      <x:c r="AX48" s="118"/>
      <x:c r="AY48" s="118"/>
      <x:c r="AZ48" s="120"/>
      <x:c r="BA48" s="120"/>
      <x:c r="BB48" s="118"/>
      <x:c r="BC48" s="118"/>
      <x:c r="BD48" s="118"/>
      <x:c r="BE48" s="118"/>
      <x:c r="BF48" s="118"/>
      <x:c r="BG48" s="120"/>
      <x:c r="BH48" s="120"/>
      <x:c r="BI48" s="118"/>
      <x:c r="BJ48" s="118"/>
      <x:c r="BK48" s="118"/>
    </x:row>
    <x:row r="49" ht="18" customHeight="1">
      <x:c r="A49" s="101" t="str">
        <x:v>T-039</x:v>
      </x:c>
      <x:c r="B49" s="101" t="str">
        <x:v>P0</x:v>
      </x:c>
      <x:c r="C49" s="101" t="str">
        <x:v>상담사 화면 개발</x:v>
      </x:c>
      <x:c r="D49" s="101" t="str">
        <x:v>웹 프론트엔드</x:v>
      </x:c>
      <x:c r="E49" s="101" t="str">
        <x:v>한예나</x:v>
      </x:c>
      <x:c r="F49" s="101" t="str">
        <x:v>미착수</x:v>
      </x:c>
      <x:c r="G49" s="97" t="n">
        <x:v>46232</x:v>
      </x:c>
      <x:c r="H49" s="97" t="n">
        <x:v>46233</x:v>
      </x:c>
      <x:c r="I49" s="118"/>
      <x:c r="J49" s="120"/>
      <x:c r="K49" s="120"/>
      <x:c r="L49" s="118"/>
      <x:c r="M49" s="118"/>
      <x:c r="N49" s="118"/>
      <x:c r="O49" s="118"/>
      <x:c r="P49" s="118"/>
      <x:c r="Q49" s="120"/>
      <x:c r="R49" s="120"/>
      <x:c r="S49" s="118"/>
      <x:c r="T49" s="118"/>
      <x:c r="U49" s="122"/>
      <x:c r="V49" s="122"/>
      <x:c r="W49" s="118"/>
      <x:c r="X49" s="120"/>
      <x:c r="Y49" s="120"/>
      <x:c r="Z49" s="118"/>
      <x:c r="AA49" s="118"/>
      <x:c r="AB49" s="118"/>
      <x:c r="AC49" s="118"/>
      <x:c r="AD49" s="118"/>
      <x:c r="AE49" s="120"/>
      <x:c r="AF49" s="120"/>
      <x:c r="AG49" s="118"/>
      <x:c r="AH49" s="118"/>
      <x:c r="AI49" s="118"/>
      <x:c r="AJ49" s="118"/>
      <x:c r="AK49" s="118"/>
      <x:c r="AL49" s="120"/>
      <x:c r="AM49" s="120"/>
      <x:c r="AN49" s="118"/>
      <x:c r="AO49" s="118"/>
      <x:c r="AP49" s="118"/>
      <x:c r="AQ49" s="118"/>
      <x:c r="AR49" s="118"/>
      <x:c r="AS49" s="120"/>
      <x:c r="AT49" s="120"/>
      <x:c r="AU49" s="118"/>
      <x:c r="AV49" s="118"/>
      <x:c r="AW49" s="118"/>
      <x:c r="AX49" s="118"/>
      <x:c r="AY49" s="118"/>
      <x:c r="AZ49" s="120"/>
      <x:c r="BA49" s="120"/>
      <x:c r="BB49" s="118"/>
      <x:c r="BC49" s="118"/>
      <x:c r="BD49" s="118"/>
      <x:c r="BE49" s="118"/>
      <x:c r="BF49" s="118"/>
      <x:c r="BG49" s="120"/>
      <x:c r="BH49" s="120"/>
      <x:c r="BI49" s="118"/>
      <x:c r="BJ49" s="118"/>
      <x:c r="BK49" s="118"/>
    </x:row>
    <x:row r="50" ht="18" customHeight="1">
      <x:c r="A50" s="101" t="str">
        <x:v>T-040</x:v>
      </x:c>
      <x:c r="B50" s="101" t="str">
        <x:v>P0</x:v>
      </x:c>
      <x:c r="C50" s="101" t="str">
        <x:v>상담사 화면 개발</x:v>
      </x:c>
      <x:c r="D50" s="101" t="str">
        <x:v>웹 프론트엔드</x:v>
      </x:c>
      <x:c r="E50" s="101" t="str">
        <x:v>한예나</x:v>
      </x:c>
      <x:c r="F50" s="101" t="str">
        <x:v>미착수</x:v>
      </x:c>
      <x:c r="G50" s="97" t="n">
        <x:v>46234</x:v>
      </x:c>
      <x:c r="H50" s="97" t="n">
        <x:v>46237</x:v>
      </x:c>
      <x:c r="I50" s="118"/>
      <x:c r="J50" s="120"/>
      <x:c r="K50" s="120"/>
      <x:c r="L50" s="118"/>
      <x:c r="M50" s="118"/>
      <x:c r="N50" s="118"/>
      <x:c r="O50" s="118"/>
      <x:c r="P50" s="118"/>
      <x:c r="Q50" s="120"/>
      <x:c r="R50" s="120"/>
      <x:c r="S50" s="118"/>
      <x:c r="T50" s="118"/>
      <x:c r="U50" s="118"/>
      <x:c r="V50" s="118"/>
      <x:c r="W50" s="122"/>
      <x:c r="X50" s="122"/>
      <x:c r="Y50" s="122"/>
      <x:c r="Z50" s="122"/>
      <x:c r="AA50" s="118"/>
      <x:c r="AB50" s="118"/>
      <x:c r="AC50" s="118"/>
      <x:c r="AD50" s="118"/>
      <x:c r="AE50" s="120"/>
      <x:c r="AF50" s="120"/>
      <x:c r="AG50" s="118"/>
      <x:c r="AH50" s="118"/>
      <x:c r="AI50" s="118"/>
      <x:c r="AJ50" s="118"/>
      <x:c r="AK50" s="118"/>
      <x:c r="AL50" s="120"/>
      <x:c r="AM50" s="120"/>
      <x:c r="AN50" s="118"/>
      <x:c r="AO50" s="118"/>
      <x:c r="AP50" s="118"/>
      <x:c r="AQ50" s="118"/>
      <x:c r="AR50" s="118"/>
      <x:c r="AS50" s="120"/>
      <x:c r="AT50" s="120"/>
      <x:c r="AU50" s="118"/>
      <x:c r="AV50" s="118"/>
      <x:c r="AW50" s="118"/>
      <x:c r="AX50" s="118"/>
      <x:c r="AY50" s="118"/>
      <x:c r="AZ50" s="120"/>
      <x:c r="BA50" s="120"/>
      <x:c r="BB50" s="118"/>
      <x:c r="BC50" s="118"/>
      <x:c r="BD50" s="118"/>
      <x:c r="BE50" s="118"/>
      <x:c r="BF50" s="118"/>
      <x:c r="BG50" s="120"/>
      <x:c r="BH50" s="120"/>
      <x:c r="BI50" s="118"/>
      <x:c r="BJ50" s="118"/>
      <x:c r="BK50" s="118"/>
    </x:row>
    <x:row r="51" ht="18" customHeight="1">
      <x:c r="A51" s="101" t="str">
        <x:v>T-041</x:v>
      </x:c>
      <x:c r="B51" s="101" t="str">
        <x:v>P0</x:v>
      </x:c>
      <x:c r="C51" s="101" t="str">
        <x:v>상담사 화면 개발</x:v>
      </x:c>
      <x:c r="D51" s="101" t="str">
        <x:v>웹 프론트엔드</x:v>
      </x:c>
      <x:c r="E51" s="101" t="str">
        <x:v>한예나</x:v>
      </x:c>
      <x:c r="F51" s="101" t="str">
        <x:v>미착수</x:v>
      </x:c>
      <x:c r="G51" s="97" t="n">
        <x:v>46238</x:v>
      </x:c>
      <x:c r="H51" s="97" t="n">
        <x:v>46238</x:v>
      </x:c>
      <x:c r="I51" s="118"/>
      <x:c r="J51" s="120"/>
      <x:c r="K51" s="120"/>
      <x:c r="L51" s="118"/>
      <x:c r="M51" s="118"/>
      <x:c r="N51" s="118"/>
      <x:c r="O51" s="118"/>
      <x:c r="P51" s="118"/>
      <x:c r="Q51" s="120"/>
      <x:c r="R51" s="120"/>
      <x:c r="S51" s="118"/>
      <x:c r="T51" s="118"/>
      <x:c r="U51" s="118"/>
      <x:c r="V51" s="118"/>
      <x:c r="W51" s="118"/>
      <x:c r="X51" s="120"/>
      <x:c r="Y51" s="120"/>
      <x:c r="Z51" s="118"/>
      <x:c r="AA51" s="122"/>
      <x:c r="AB51" s="118"/>
      <x:c r="AC51" s="118"/>
      <x:c r="AD51" s="118"/>
      <x:c r="AE51" s="120"/>
      <x:c r="AF51" s="120"/>
      <x:c r="AG51" s="118"/>
      <x:c r="AH51" s="118"/>
      <x:c r="AI51" s="118"/>
      <x:c r="AJ51" s="118"/>
      <x:c r="AK51" s="118"/>
      <x:c r="AL51" s="120"/>
      <x:c r="AM51" s="120"/>
      <x:c r="AN51" s="118"/>
      <x:c r="AO51" s="118"/>
      <x:c r="AP51" s="118"/>
      <x:c r="AQ51" s="118"/>
      <x:c r="AR51" s="118"/>
      <x:c r="AS51" s="120"/>
      <x:c r="AT51" s="120"/>
      <x:c r="AU51" s="118"/>
      <x:c r="AV51" s="118"/>
      <x:c r="AW51" s="118"/>
      <x:c r="AX51" s="118"/>
      <x:c r="AY51" s="118"/>
      <x:c r="AZ51" s="120"/>
      <x:c r="BA51" s="120"/>
      <x:c r="BB51" s="118"/>
      <x:c r="BC51" s="118"/>
      <x:c r="BD51" s="118"/>
      <x:c r="BE51" s="118"/>
      <x:c r="BF51" s="118"/>
      <x:c r="BG51" s="120"/>
      <x:c r="BH51" s="120"/>
      <x:c r="BI51" s="118"/>
      <x:c r="BJ51" s="118"/>
      <x:c r="BK51" s="118"/>
    </x:row>
    <x:row r="52" ht="18" customHeight="1">
      <x:c r="A52" s="101" t="str">
        <x:v>T-042</x:v>
      </x:c>
      <x:c r="B52" s="101" t="str">
        <x:v>P0</x:v>
      </x:c>
      <x:c r="C52" s="101" t="str">
        <x:v>방문기사 화면 개발</x:v>
      </x:c>
      <x:c r="D52" s="101" t="str">
        <x:v>모바일 앱 개발</x:v>
      </x:c>
      <x:c r="E52" s="101" t="str">
        <x:v>양정현</x:v>
      </x:c>
      <x:c r="F52" s="101" t="str">
        <x:v>미착수</x:v>
      </x:c>
      <x:c r="G52" s="97" t="n">
        <x:v>46241</x:v>
      </x:c>
      <x:c r="H52" s="97" t="n">
        <x:v>46244</x:v>
      </x:c>
      <x:c r="I52" s="118"/>
      <x:c r="J52" s="120"/>
      <x:c r="K52" s="120"/>
      <x:c r="L52" s="118"/>
      <x:c r="M52" s="118"/>
      <x:c r="N52" s="118"/>
      <x:c r="O52" s="118"/>
      <x:c r="P52" s="118"/>
      <x:c r="Q52" s="120"/>
      <x:c r="R52" s="120"/>
      <x:c r="S52" s="118"/>
      <x:c r="T52" s="118"/>
      <x:c r="U52" s="118"/>
      <x:c r="V52" s="118"/>
      <x:c r="W52" s="118"/>
      <x:c r="X52" s="120"/>
      <x:c r="Y52" s="120"/>
      <x:c r="Z52" s="118"/>
      <x:c r="AA52" s="118"/>
      <x:c r="AB52" s="118"/>
      <x:c r="AC52" s="118"/>
      <x:c r="AD52" s="122"/>
      <x:c r="AE52" s="122"/>
      <x:c r="AF52" s="122"/>
      <x:c r="AG52" s="122"/>
      <x:c r="AH52" s="118"/>
      <x:c r="AI52" s="118"/>
      <x:c r="AJ52" s="118"/>
      <x:c r="AK52" s="118"/>
      <x:c r="AL52" s="120"/>
      <x:c r="AM52" s="120"/>
      <x:c r="AN52" s="118"/>
      <x:c r="AO52" s="118"/>
      <x:c r="AP52" s="118"/>
      <x:c r="AQ52" s="118"/>
      <x:c r="AR52" s="118"/>
      <x:c r="AS52" s="120"/>
      <x:c r="AT52" s="120"/>
      <x:c r="AU52" s="118"/>
      <x:c r="AV52" s="118"/>
      <x:c r="AW52" s="118"/>
      <x:c r="AX52" s="118"/>
      <x:c r="AY52" s="118"/>
      <x:c r="AZ52" s="120"/>
      <x:c r="BA52" s="120"/>
      <x:c r="BB52" s="118"/>
      <x:c r="BC52" s="118"/>
      <x:c r="BD52" s="118"/>
      <x:c r="BE52" s="118"/>
      <x:c r="BF52" s="118"/>
      <x:c r="BG52" s="120"/>
      <x:c r="BH52" s="120"/>
      <x:c r="BI52" s="118"/>
      <x:c r="BJ52" s="118"/>
      <x:c r="BK52" s="118"/>
    </x:row>
    <x:row r="53" ht="18" customHeight="1">
      <x:c r="A53" s="101" t="str">
        <x:v>T-043</x:v>
      </x:c>
      <x:c r="B53" s="101" t="str">
        <x:v>P0</x:v>
      </x:c>
      <x:c r="C53" s="101" t="str">
        <x:v>방문기사 화면 개발</x:v>
      </x:c>
      <x:c r="D53" s="101" t="str">
        <x:v>모바일 앱 개발</x:v>
      </x:c>
      <x:c r="E53" s="101" t="str">
        <x:v>양정현</x:v>
      </x:c>
      <x:c r="F53" s="101" t="str">
        <x:v>미착수</x:v>
      </x:c>
      <x:c r="G53" s="97" t="n">
        <x:v>46248</x:v>
      </x:c>
      <x:c r="H53" s="97" t="n">
        <x:v>46251</x:v>
      </x:c>
      <x:c r="I53" s="118"/>
      <x:c r="J53" s="120"/>
      <x:c r="K53" s="120"/>
      <x:c r="L53" s="118"/>
      <x:c r="M53" s="118"/>
      <x:c r="N53" s="118"/>
      <x:c r="O53" s="118"/>
      <x:c r="P53" s="118"/>
      <x:c r="Q53" s="120"/>
      <x:c r="R53" s="120"/>
      <x:c r="S53" s="118"/>
      <x:c r="T53" s="118"/>
      <x:c r="U53" s="118"/>
      <x:c r="V53" s="118"/>
      <x:c r="W53" s="118"/>
      <x:c r="X53" s="120"/>
      <x:c r="Y53" s="120"/>
      <x:c r="Z53" s="118"/>
      <x:c r="AA53" s="118"/>
      <x:c r="AB53" s="118"/>
      <x:c r="AC53" s="118"/>
      <x:c r="AD53" s="118"/>
      <x:c r="AE53" s="120"/>
      <x:c r="AF53" s="120"/>
      <x:c r="AG53" s="118"/>
      <x:c r="AH53" s="118"/>
      <x:c r="AI53" s="118"/>
      <x:c r="AJ53" s="118"/>
      <x:c r="AK53" s="122"/>
      <x:c r="AL53" s="122"/>
      <x:c r="AM53" s="122"/>
      <x:c r="AN53" s="122"/>
      <x:c r="AO53" s="118"/>
      <x:c r="AP53" s="118"/>
      <x:c r="AQ53" s="118"/>
      <x:c r="AR53" s="118"/>
      <x:c r="AS53" s="120"/>
      <x:c r="AT53" s="120"/>
      <x:c r="AU53" s="118"/>
      <x:c r="AV53" s="118"/>
      <x:c r="AW53" s="118"/>
      <x:c r="AX53" s="118"/>
      <x:c r="AY53" s="118"/>
      <x:c r="AZ53" s="120"/>
      <x:c r="BA53" s="120"/>
      <x:c r="BB53" s="118"/>
      <x:c r="BC53" s="118"/>
      <x:c r="BD53" s="118"/>
      <x:c r="BE53" s="118"/>
      <x:c r="BF53" s="118"/>
      <x:c r="BG53" s="120"/>
      <x:c r="BH53" s="120"/>
      <x:c r="BI53" s="118"/>
      <x:c r="BJ53" s="118"/>
      <x:c r="BK53" s="118"/>
    </x:row>
    <x:row r="54" ht="18" customHeight="1">
      <x:c r="A54" s="101" t="str">
        <x:v>T-044</x:v>
      </x:c>
      <x:c r="B54" s="101" t="str">
        <x:v>P0</x:v>
      </x:c>
      <x:c r="C54" s="101" t="str">
        <x:v>사후 관리</x:v>
      </x:c>
      <x:c r="D54" s="101" t="str">
        <x:v>백엔드·데이터베이스</x:v>
      </x:c>
      <x:c r="E54" s="101" t="str">
        <x:v>최지용</x:v>
      </x:c>
      <x:c r="F54" s="101" t="str">
        <x:v>미착수</x:v>
      </x:c>
      <x:c r="G54" s="97" t="n">
        <x:v>46252</x:v>
      </x:c>
      <x:c r="H54" s="97" t="n">
        <x:v>46252</x:v>
      </x:c>
      <x:c r="I54" s="118"/>
      <x:c r="J54" s="120"/>
      <x:c r="K54" s="120"/>
      <x:c r="L54" s="118"/>
      <x:c r="M54" s="118"/>
      <x:c r="N54" s="118"/>
      <x:c r="O54" s="118"/>
      <x:c r="P54" s="118"/>
      <x:c r="Q54" s="120"/>
      <x:c r="R54" s="120"/>
      <x:c r="S54" s="118"/>
      <x:c r="T54" s="118"/>
      <x:c r="U54" s="118"/>
      <x:c r="V54" s="118"/>
      <x:c r="W54" s="118"/>
      <x:c r="X54" s="120"/>
      <x:c r="Y54" s="120"/>
      <x:c r="Z54" s="118"/>
      <x:c r="AA54" s="118"/>
      <x:c r="AB54" s="118"/>
      <x:c r="AC54" s="118"/>
      <x:c r="AD54" s="118"/>
      <x:c r="AE54" s="120"/>
      <x:c r="AF54" s="120"/>
      <x:c r="AG54" s="118"/>
      <x:c r="AH54" s="118"/>
      <x:c r="AI54" s="118"/>
      <x:c r="AJ54" s="118"/>
      <x:c r="AK54" s="118"/>
      <x:c r="AL54" s="120"/>
      <x:c r="AM54" s="120"/>
      <x:c r="AN54" s="118"/>
      <x:c r="AO54" s="122"/>
      <x:c r="AP54" s="118"/>
      <x:c r="AQ54" s="118"/>
      <x:c r="AR54" s="118"/>
      <x:c r="AS54" s="120"/>
      <x:c r="AT54" s="120"/>
      <x:c r="AU54" s="118"/>
      <x:c r="AV54" s="118"/>
      <x:c r="AW54" s="118"/>
      <x:c r="AX54" s="118"/>
      <x:c r="AY54" s="118"/>
      <x:c r="AZ54" s="120"/>
      <x:c r="BA54" s="120"/>
      <x:c r="BB54" s="118"/>
      <x:c r="BC54" s="118"/>
      <x:c r="BD54" s="118"/>
      <x:c r="BE54" s="118"/>
      <x:c r="BF54" s="118"/>
      <x:c r="BG54" s="120"/>
      <x:c r="BH54" s="120"/>
      <x:c r="BI54" s="118"/>
      <x:c r="BJ54" s="118"/>
      <x:c r="BK54" s="118"/>
    </x:row>
    <x:row r="55" ht="18" customHeight="1">
      <x:c r="A55" s="101" t="str">
        <x:v>T-045</x:v>
      </x:c>
      <x:c r="B55" s="101" t="str">
        <x:v>P0</x:v>
      </x:c>
      <x:c r="C55" s="101" t="str">
        <x:v>프론트엔드 공통</x:v>
      </x:c>
      <x:c r="D55" s="101" t="str">
        <x:v>웹 프론트엔드</x:v>
      </x:c>
      <x:c r="E55" s="101" t="str">
        <x:v>한예나</x:v>
      </x:c>
      <x:c r="F55" s="101" t="str">
        <x:v>진행 중</x:v>
      </x:c>
      <x:c r="G55" s="97" t="n">
        <x:v>46226</x:v>
      </x:c>
      <x:c r="H55" s="97" t="n">
        <x:v>46227</x:v>
      </x:c>
      <x:c r="I55" s="118"/>
      <x:c r="J55" s="120"/>
      <x:c r="K55" s="120"/>
      <x:c r="L55" s="118"/>
      <x:c r="M55" s="118"/>
      <x:c r="N55" s="118"/>
      <x:c r="O55" s="122"/>
      <x:c r="P55" s="122"/>
      <x:c r="Q55" s="120"/>
      <x:c r="R55" s="120"/>
      <x:c r="S55" s="118"/>
      <x:c r="T55" s="118"/>
      <x:c r="U55" s="118"/>
      <x:c r="V55" s="118"/>
      <x:c r="W55" s="118"/>
      <x:c r="X55" s="120"/>
      <x:c r="Y55" s="120"/>
      <x:c r="Z55" s="118"/>
      <x:c r="AA55" s="118"/>
      <x:c r="AB55" s="118"/>
      <x:c r="AC55" s="118"/>
      <x:c r="AD55" s="118"/>
      <x:c r="AE55" s="120"/>
      <x:c r="AF55" s="120"/>
      <x:c r="AG55" s="118"/>
      <x:c r="AH55" s="118"/>
      <x:c r="AI55" s="118"/>
      <x:c r="AJ55" s="118"/>
      <x:c r="AK55" s="118"/>
      <x:c r="AL55" s="120"/>
      <x:c r="AM55" s="120"/>
      <x:c r="AN55" s="118"/>
      <x:c r="AO55" s="118"/>
      <x:c r="AP55" s="118"/>
      <x:c r="AQ55" s="118"/>
      <x:c r="AR55" s="118"/>
      <x:c r="AS55" s="120"/>
      <x:c r="AT55" s="120"/>
      <x:c r="AU55" s="118"/>
      <x:c r="AV55" s="118"/>
      <x:c r="AW55" s="118"/>
      <x:c r="AX55" s="118"/>
      <x:c r="AY55" s="118"/>
      <x:c r="AZ55" s="120"/>
      <x:c r="BA55" s="120"/>
      <x:c r="BB55" s="118"/>
      <x:c r="BC55" s="118"/>
      <x:c r="BD55" s="118"/>
      <x:c r="BE55" s="118"/>
      <x:c r="BF55" s="118"/>
      <x:c r="BG55" s="120"/>
      <x:c r="BH55" s="120"/>
      <x:c r="BI55" s="118"/>
      <x:c r="BJ55" s="118"/>
      <x:c r="BK55" s="118"/>
    </x:row>
    <x:row r="56" ht="18" customHeight="1">
      <x:c r="A56" s="101" t="str">
        <x:v>T-046</x:v>
      </x:c>
      <x:c r="B56" s="101" t="str">
        <x:v>P0</x:v>
      </x:c>
      <x:c r="C56" s="101" t="str">
        <x:v>통합 개발</x:v>
      </x:c>
      <x:c r="D56" s="101" t="str">
        <x:v>백엔드·데이터베이스</x:v>
      </x:c>
      <x:c r="E56" s="101" t="str">
        <x:v>최지용</x:v>
      </x:c>
      <x:c r="F56" s="101" t="str">
        <x:v>미착수</x:v>
      </x:c>
      <x:c r="G56" s="97" t="n">
        <x:v>46255</x:v>
      </x:c>
      <x:c r="H56" s="97" t="n">
        <x:v>46258</x:v>
      </x:c>
      <x:c r="I56" s="118"/>
      <x:c r="J56" s="120"/>
      <x:c r="K56" s="120"/>
      <x:c r="L56" s="118"/>
      <x:c r="M56" s="118"/>
      <x:c r="N56" s="118"/>
      <x:c r="O56" s="118"/>
      <x:c r="P56" s="118"/>
      <x:c r="Q56" s="120"/>
      <x:c r="R56" s="120"/>
      <x:c r="S56" s="118"/>
      <x:c r="T56" s="118"/>
      <x:c r="U56" s="118"/>
      <x:c r="V56" s="118"/>
      <x:c r="W56" s="118"/>
      <x:c r="X56" s="120"/>
      <x:c r="Y56" s="120"/>
      <x:c r="Z56" s="118"/>
      <x:c r="AA56" s="118"/>
      <x:c r="AB56" s="118"/>
      <x:c r="AC56" s="118"/>
      <x:c r="AD56" s="118"/>
      <x:c r="AE56" s="120"/>
      <x:c r="AF56" s="120"/>
      <x:c r="AG56" s="118"/>
      <x:c r="AH56" s="118"/>
      <x:c r="AI56" s="118"/>
      <x:c r="AJ56" s="118"/>
      <x:c r="AK56" s="118"/>
      <x:c r="AL56" s="120"/>
      <x:c r="AM56" s="120"/>
      <x:c r="AN56" s="118"/>
      <x:c r="AO56" s="118"/>
      <x:c r="AP56" s="118"/>
      <x:c r="AQ56" s="118"/>
      <x:c r="AR56" s="122"/>
      <x:c r="AS56" s="122"/>
      <x:c r="AT56" s="122"/>
      <x:c r="AU56" s="122"/>
      <x:c r="AV56" s="118"/>
      <x:c r="AW56" s="118"/>
      <x:c r="AX56" s="118"/>
      <x:c r="AY56" s="118"/>
      <x:c r="AZ56" s="120"/>
      <x:c r="BA56" s="120"/>
      <x:c r="BB56" s="118"/>
      <x:c r="BC56" s="118"/>
      <x:c r="BD56" s="118"/>
      <x:c r="BE56" s="118"/>
      <x:c r="BF56" s="118"/>
      <x:c r="BG56" s="120"/>
      <x:c r="BH56" s="120"/>
      <x:c r="BI56" s="118"/>
      <x:c r="BJ56" s="118"/>
      <x:c r="BK56" s="118"/>
    </x:row>
    <x:row r="57" ht="18" customHeight="1">
      <x:c r="A57" s="101" t="str">
        <x:v>T-047</x:v>
      </x:c>
      <x:c r="B57" s="101" t="str">
        <x:v>P0</x:v>
      </x:c>
      <x:c r="C57" s="101" t="str">
        <x:v>테스트 및 검증</x:v>
      </x:c>
      <x:c r="D57" s="101" t="str">
        <x:v>백엔드·데이터베이스</x:v>
      </x:c>
      <x:c r="E57" s="101" t="str">
        <x:v>최지용</x:v>
      </x:c>
      <x:c r="F57" s="101" t="str">
        <x:v>미착수</x:v>
      </x:c>
      <x:c r="G57" s="97" t="n">
        <x:v>46259</x:v>
      </x:c>
      <x:c r="H57" s="97" t="n">
        <x:v>46260</x:v>
      </x:c>
      <x:c r="I57" s="118"/>
      <x:c r="J57" s="120"/>
      <x:c r="K57" s="120"/>
      <x:c r="L57" s="118"/>
      <x:c r="M57" s="118"/>
      <x:c r="N57" s="118"/>
      <x:c r="O57" s="118"/>
      <x:c r="P57" s="118"/>
      <x:c r="Q57" s="120"/>
      <x:c r="R57" s="120"/>
      <x:c r="S57" s="118"/>
      <x:c r="T57" s="118"/>
      <x:c r="U57" s="118"/>
      <x:c r="V57" s="118"/>
      <x:c r="W57" s="118"/>
      <x:c r="X57" s="120"/>
      <x:c r="Y57" s="120"/>
      <x:c r="Z57" s="118"/>
      <x:c r="AA57" s="118"/>
      <x:c r="AB57" s="118"/>
      <x:c r="AC57" s="118"/>
      <x:c r="AD57" s="118"/>
      <x:c r="AE57" s="120"/>
      <x:c r="AF57" s="120"/>
      <x:c r="AG57" s="118"/>
      <x:c r="AH57" s="118"/>
      <x:c r="AI57" s="118"/>
      <x:c r="AJ57" s="118"/>
      <x:c r="AK57" s="118"/>
      <x:c r="AL57" s="120"/>
      <x:c r="AM57" s="120"/>
      <x:c r="AN57" s="118"/>
      <x:c r="AO57" s="118"/>
      <x:c r="AP57" s="118"/>
      <x:c r="AQ57" s="118"/>
      <x:c r="AR57" s="118"/>
      <x:c r="AS57" s="120"/>
      <x:c r="AT57" s="120"/>
      <x:c r="AU57" s="118"/>
      <x:c r="AV57" s="122"/>
      <x:c r="AW57" s="122"/>
      <x:c r="AX57" s="118"/>
      <x:c r="AY57" s="118"/>
      <x:c r="AZ57" s="120"/>
      <x:c r="BA57" s="120"/>
      <x:c r="BB57" s="118"/>
      <x:c r="BC57" s="118"/>
      <x:c r="BD57" s="118"/>
      <x:c r="BE57" s="118"/>
      <x:c r="BF57" s="118"/>
      <x:c r="BG57" s="120"/>
      <x:c r="BH57" s="120"/>
      <x:c r="BI57" s="118"/>
      <x:c r="BJ57" s="118"/>
      <x:c r="BK57" s="118"/>
    </x:row>
    <x:row r="58" ht="18" customHeight="1">
      <x:c r="A58" s="101" t="str">
        <x:v>T-047A</x:v>
      </x:c>
      <x:c r="B58" s="101" t="str">
        <x:v>P0</x:v>
      </x:c>
      <x:c r="C58" s="101" t="str">
        <x:v>계정 관리 보안 테스트</x:v>
      </x:c>
      <x:c r="D58" s="101" t="str">
        <x:v>백엔드·데이터베이스</x:v>
      </x:c>
      <x:c r="E58" s="101" t="str">
        <x:v>최지용</x:v>
      </x:c>
      <x:c r="F58" s="101" t="str">
        <x:v>미착수</x:v>
      </x:c>
      <x:c r="G58" s="97" t="n">
        <x:v>46260</x:v>
      </x:c>
      <x:c r="H58" s="97" t="n">
        <x:v>46261</x:v>
      </x:c>
      <x:c r="I58" s="118"/>
      <x:c r="J58" s="120"/>
      <x:c r="K58" s="120"/>
      <x:c r="L58" s="118"/>
      <x:c r="M58" s="118"/>
      <x:c r="N58" s="118"/>
      <x:c r="O58" s="118"/>
      <x:c r="P58" s="118"/>
      <x:c r="Q58" s="120"/>
      <x:c r="R58" s="120"/>
      <x:c r="S58" s="118"/>
      <x:c r="T58" s="118"/>
      <x:c r="U58" s="118"/>
      <x:c r="V58" s="118"/>
      <x:c r="W58" s="118"/>
      <x:c r="X58" s="120"/>
      <x:c r="Y58" s="120"/>
      <x:c r="Z58" s="118"/>
      <x:c r="AA58" s="118"/>
      <x:c r="AB58" s="118"/>
      <x:c r="AC58" s="118"/>
      <x:c r="AD58" s="118"/>
      <x:c r="AE58" s="120"/>
      <x:c r="AF58" s="120"/>
      <x:c r="AG58" s="118"/>
      <x:c r="AH58" s="118"/>
      <x:c r="AI58" s="118"/>
      <x:c r="AJ58" s="118"/>
      <x:c r="AK58" s="118"/>
      <x:c r="AL58" s="120"/>
      <x:c r="AM58" s="120"/>
      <x:c r="AN58" s="118"/>
      <x:c r="AO58" s="118"/>
      <x:c r="AP58" s="118"/>
      <x:c r="AQ58" s="118"/>
      <x:c r="AR58" s="118"/>
      <x:c r="AS58" s="120"/>
      <x:c r="AT58" s="120"/>
      <x:c r="AU58" s="118"/>
      <x:c r="AV58" s="118"/>
      <x:c r="AW58" s="122"/>
      <x:c r="AX58" s="122"/>
      <x:c r="AY58" s="118"/>
      <x:c r="AZ58" s="120"/>
      <x:c r="BA58" s="120"/>
      <x:c r="BB58" s="118"/>
      <x:c r="BC58" s="118"/>
      <x:c r="BD58" s="118"/>
      <x:c r="BE58" s="118"/>
      <x:c r="BF58" s="118"/>
      <x:c r="BG58" s="120"/>
      <x:c r="BH58" s="120"/>
      <x:c r="BI58" s="118"/>
      <x:c r="BJ58" s="118"/>
      <x:c r="BK58" s="118"/>
    </x:row>
    <x:row r="59" ht="18" customHeight="1">
      <x:c r="A59" s="101" t="str">
        <x:v>T-048</x:v>
      </x:c>
      <x:c r="B59" s="101" t="str">
        <x:v>P0</x:v>
      </x:c>
      <x:c r="C59" s="101" t="str">
        <x:v>테스트 및 검증</x:v>
      </x:c>
      <x:c r="D59" s="101" t="str">
        <x:v>데이터·QA·DevOps</x:v>
      </x:c>
      <x:c r="E59" s="101" t="str">
        <x:v>김은진</x:v>
      </x:c>
      <x:c r="F59" s="101" t="str">
        <x:v>미착수</x:v>
      </x:c>
      <x:c r="G59" s="97" t="n">
        <x:v>46259</x:v>
      </x:c>
      <x:c r="H59" s="97" t="n">
        <x:v>46260</x:v>
      </x:c>
      <x:c r="I59" s="118"/>
      <x:c r="J59" s="120"/>
      <x:c r="K59" s="120"/>
      <x:c r="L59" s="118"/>
      <x:c r="M59" s="118"/>
      <x:c r="N59" s="118"/>
      <x:c r="O59" s="118"/>
      <x:c r="P59" s="118"/>
      <x:c r="Q59" s="120"/>
      <x:c r="R59" s="120"/>
      <x:c r="S59" s="118"/>
      <x:c r="T59" s="118"/>
      <x:c r="U59" s="118"/>
      <x:c r="V59" s="118"/>
      <x:c r="W59" s="118"/>
      <x:c r="X59" s="120"/>
      <x:c r="Y59" s="120"/>
      <x:c r="Z59" s="118"/>
      <x:c r="AA59" s="118"/>
      <x:c r="AB59" s="118"/>
      <x:c r="AC59" s="118"/>
      <x:c r="AD59" s="118"/>
      <x:c r="AE59" s="120"/>
      <x:c r="AF59" s="120"/>
      <x:c r="AG59" s="118"/>
      <x:c r="AH59" s="118"/>
      <x:c r="AI59" s="118"/>
      <x:c r="AJ59" s="118"/>
      <x:c r="AK59" s="118"/>
      <x:c r="AL59" s="120"/>
      <x:c r="AM59" s="120"/>
      <x:c r="AN59" s="118"/>
      <x:c r="AO59" s="118"/>
      <x:c r="AP59" s="118"/>
      <x:c r="AQ59" s="118"/>
      <x:c r="AR59" s="118"/>
      <x:c r="AS59" s="120"/>
      <x:c r="AT59" s="120"/>
      <x:c r="AU59" s="118"/>
      <x:c r="AV59" s="122"/>
      <x:c r="AW59" s="122"/>
      <x:c r="AX59" s="118"/>
      <x:c r="AY59" s="118"/>
      <x:c r="AZ59" s="120"/>
      <x:c r="BA59" s="120"/>
      <x:c r="BB59" s="118"/>
      <x:c r="BC59" s="118"/>
      <x:c r="BD59" s="118"/>
      <x:c r="BE59" s="118"/>
      <x:c r="BF59" s="118"/>
      <x:c r="BG59" s="120"/>
      <x:c r="BH59" s="120"/>
      <x:c r="BI59" s="118"/>
      <x:c r="BJ59" s="118"/>
      <x:c r="BK59" s="118"/>
    </x:row>
    <x:row r="60" ht="18" customHeight="1">
      <x:c r="A60" s="101" t="str">
        <x:v>T-049</x:v>
      </x:c>
      <x:c r="B60" s="101" t="str">
        <x:v>P0</x:v>
      </x:c>
      <x:c r="C60" s="101" t="str">
        <x:v>테스트 및 검증</x:v>
      </x:c>
      <x:c r="D60" s="101" t="str">
        <x:v>AI·RAG</x:v>
      </x:c>
      <x:c r="E60" s="101" t="str">
        <x:v>이동윤</x:v>
      </x:c>
      <x:c r="F60" s="101" t="str">
        <x:v>미착수</x:v>
      </x:c>
      <x:c r="G60" s="97" t="n">
        <x:v>46261</x:v>
      </x:c>
      <x:c r="H60" s="97" t="n">
        <x:v>46262</x:v>
      </x:c>
      <x:c r="I60" s="118"/>
      <x:c r="J60" s="120"/>
      <x:c r="K60" s="120"/>
      <x:c r="L60" s="118"/>
      <x:c r="M60" s="118"/>
      <x:c r="N60" s="118"/>
      <x:c r="O60" s="118"/>
      <x:c r="P60" s="118"/>
      <x:c r="Q60" s="120"/>
      <x:c r="R60" s="120"/>
      <x:c r="S60" s="118"/>
      <x:c r="T60" s="118"/>
      <x:c r="U60" s="118"/>
      <x:c r="V60" s="118"/>
      <x:c r="W60" s="118"/>
      <x:c r="X60" s="120"/>
      <x:c r="Y60" s="120"/>
      <x:c r="Z60" s="118"/>
      <x:c r="AA60" s="118"/>
      <x:c r="AB60" s="118"/>
      <x:c r="AC60" s="118"/>
      <x:c r="AD60" s="118"/>
      <x:c r="AE60" s="120"/>
      <x:c r="AF60" s="120"/>
      <x:c r="AG60" s="118"/>
      <x:c r="AH60" s="118"/>
      <x:c r="AI60" s="118"/>
      <x:c r="AJ60" s="118"/>
      <x:c r="AK60" s="118"/>
      <x:c r="AL60" s="120"/>
      <x:c r="AM60" s="120"/>
      <x:c r="AN60" s="118"/>
      <x:c r="AO60" s="118"/>
      <x:c r="AP60" s="118"/>
      <x:c r="AQ60" s="118"/>
      <x:c r="AR60" s="118"/>
      <x:c r="AS60" s="120"/>
      <x:c r="AT60" s="120"/>
      <x:c r="AU60" s="118"/>
      <x:c r="AV60" s="118"/>
      <x:c r="AW60" s="118"/>
      <x:c r="AX60" s="122"/>
      <x:c r="AY60" s="122"/>
      <x:c r="AZ60" s="120"/>
      <x:c r="BA60" s="120"/>
      <x:c r="BB60" s="118"/>
      <x:c r="BC60" s="118"/>
      <x:c r="BD60" s="118"/>
      <x:c r="BE60" s="118"/>
      <x:c r="BF60" s="118"/>
      <x:c r="BG60" s="120"/>
      <x:c r="BH60" s="120"/>
      <x:c r="BI60" s="118"/>
      <x:c r="BJ60" s="118"/>
      <x:c r="BK60" s="118"/>
    </x:row>
    <x:row r="61" ht="18" customHeight="1">
      <x:c r="A61" s="101" t="str">
        <x:v>T-050</x:v>
      </x:c>
      <x:c r="B61" s="101" t="str">
        <x:v>P0</x:v>
      </x:c>
      <x:c r="C61" s="101" t="str">
        <x:v>테스트 및 검증</x:v>
      </x:c>
      <x:c r="D61" s="101" t="str">
        <x:v>데이터·QA·DevOps</x:v>
      </x:c>
      <x:c r="E61" s="101" t="str">
        <x:v>김은진</x:v>
      </x:c>
      <x:c r="F61" s="101" t="str">
        <x:v>미착수</x:v>
      </x:c>
      <x:c r="G61" s="97" t="n">
        <x:v>46259</x:v>
      </x:c>
      <x:c r="H61" s="97" t="n">
        <x:v>46260</x:v>
      </x:c>
      <x:c r="I61" s="118"/>
      <x:c r="J61" s="120"/>
      <x:c r="K61" s="120"/>
      <x:c r="L61" s="118"/>
      <x:c r="M61" s="118"/>
      <x:c r="N61" s="118"/>
      <x:c r="O61" s="118"/>
      <x:c r="P61" s="118"/>
      <x:c r="Q61" s="120"/>
      <x:c r="R61" s="120"/>
      <x:c r="S61" s="118"/>
      <x:c r="T61" s="118"/>
      <x:c r="U61" s="118"/>
      <x:c r="V61" s="118"/>
      <x:c r="W61" s="118"/>
      <x:c r="X61" s="120"/>
      <x:c r="Y61" s="120"/>
      <x:c r="Z61" s="118"/>
      <x:c r="AA61" s="118"/>
      <x:c r="AB61" s="118"/>
      <x:c r="AC61" s="118"/>
      <x:c r="AD61" s="118"/>
      <x:c r="AE61" s="120"/>
      <x:c r="AF61" s="120"/>
      <x:c r="AG61" s="118"/>
      <x:c r="AH61" s="118"/>
      <x:c r="AI61" s="118"/>
      <x:c r="AJ61" s="118"/>
      <x:c r="AK61" s="118"/>
      <x:c r="AL61" s="120"/>
      <x:c r="AM61" s="120"/>
      <x:c r="AN61" s="118"/>
      <x:c r="AO61" s="118"/>
      <x:c r="AP61" s="118"/>
      <x:c r="AQ61" s="118"/>
      <x:c r="AR61" s="118"/>
      <x:c r="AS61" s="120"/>
      <x:c r="AT61" s="120"/>
      <x:c r="AU61" s="118"/>
      <x:c r="AV61" s="122"/>
      <x:c r="AW61" s="122"/>
      <x:c r="AX61" s="118"/>
      <x:c r="AY61" s="118"/>
      <x:c r="AZ61" s="120"/>
      <x:c r="BA61" s="120"/>
      <x:c r="BB61" s="118"/>
      <x:c r="BC61" s="118"/>
      <x:c r="BD61" s="118"/>
      <x:c r="BE61" s="118"/>
      <x:c r="BF61" s="118"/>
      <x:c r="BG61" s="120"/>
      <x:c r="BH61" s="120"/>
      <x:c r="BI61" s="118"/>
      <x:c r="BJ61" s="118"/>
      <x:c r="BK61" s="118"/>
    </x:row>
    <x:row r="62" ht="18" customHeight="1">
      <x:c r="A62" s="101" t="str">
        <x:v>T-051</x:v>
      </x:c>
      <x:c r="B62" s="101" t="str">
        <x:v>P0</x:v>
      </x:c>
      <x:c r="C62" s="101" t="str">
        <x:v>테스트 및 검증</x:v>
      </x:c>
      <x:c r="D62" s="101" t="str">
        <x:v>데이터·QA·DevOps</x:v>
      </x:c>
      <x:c r="E62" s="101" t="str">
        <x:v>김은진</x:v>
      </x:c>
      <x:c r="F62" s="101" t="str">
        <x:v>미착수</x:v>
      </x:c>
      <x:c r="G62" s="97" t="n">
        <x:v>46261</x:v>
      </x:c>
      <x:c r="H62" s="97" t="n">
        <x:v>46262</x:v>
      </x:c>
      <x:c r="I62" s="118"/>
      <x:c r="J62" s="120"/>
      <x:c r="K62" s="120"/>
      <x:c r="L62" s="118"/>
      <x:c r="M62" s="118"/>
      <x:c r="N62" s="118"/>
      <x:c r="O62" s="118"/>
      <x:c r="P62" s="118"/>
      <x:c r="Q62" s="120"/>
      <x:c r="R62" s="120"/>
      <x:c r="S62" s="118"/>
      <x:c r="T62" s="118"/>
      <x:c r="U62" s="118"/>
      <x:c r="V62" s="118"/>
      <x:c r="W62" s="118"/>
      <x:c r="X62" s="120"/>
      <x:c r="Y62" s="120"/>
      <x:c r="Z62" s="118"/>
      <x:c r="AA62" s="118"/>
      <x:c r="AB62" s="118"/>
      <x:c r="AC62" s="118"/>
      <x:c r="AD62" s="118"/>
      <x:c r="AE62" s="120"/>
      <x:c r="AF62" s="120"/>
      <x:c r="AG62" s="118"/>
      <x:c r="AH62" s="118"/>
      <x:c r="AI62" s="118"/>
      <x:c r="AJ62" s="118"/>
      <x:c r="AK62" s="118"/>
      <x:c r="AL62" s="120"/>
      <x:c r="AM62" s="120"/>
      <x:c r="AN62" s="118"/>
      <x:c r="AO62" s="118"/>
      <x:c r="AP62" s="118"/>
      <x:c r="AQ62" s="118"/>
      <x:c r="AR62" s="118"/>
      <x:c r="AS62" s="120"/>
      <x:c r="AT62" s="120"/>
      <x:c r="AU62" s="118"/>
      <x:c r="AV62" s="118"/>
      <x:c r="AW62" s="118"/>
      <x:c r="AX62" s="122"/>
      <x:c r="AY62" s="122"/>
      <x:c r="AZ62" s="120"/>
      <x:c r="BA62" s="120"/>
      <x:c r="BB62" s="118"/>
      <x:c r="BC62" s="118"/>
      <x:c r="BD62" s="118"/>
      <x:c r="BE62" s="118"/>
      <x:c r="BF62" s="118"/>
      <x:c r="BG62" s="120"/>
      <x:c r="BH62" s="120"/>
      <x:c r="BI62" s="118"/>
      <x:c r="BJ62" s="118"/>
      <x:c r="BK62" s="118"/>
    </x:row>
    <x:row r="63" ht="18" customHeight="1">
      <x:c r="A63" s="101" t="str">
        <x:v>T-052</x:v>
      </x:c>
      <x:c r="B63" s="101" t="str">
        <x:v>P0</x:v>
      </x:c>
      <x:c r="C63" s="101" t="str">
        <x:v>시연 준비</x:v>
      </x:c>
      <x:c r="D63" s="101" t="str">
        <x:v>PM·기술 통합</x:v>
      </x:c>
      <x:c r="E63" s="101" t="str">
        <x:v>윤승혁</x:v>
      </x:c>
      <x:c r="F63" s="101" t="str">
        <x:v>미착수</x:v>
      </x:c>
      <x:c r="G63" s="97" t="n">
        <x:v>46238</x:v>
      </x:c>
      <x:c r="H63" s="97" t="n">
        <x:v>46238</x:v>
      </x:c>
      <x:c r="I63" s="118"/>
      <x:c r="J63" s="120"/>
      <x:c r="K63" s="120"/>
      <x:c r="L63" s="118"/>
      <x:c r="M63" s="118"/>
      <x:c r="N63" s="118"/>
      <x:c r="O63" s="118"/>
      <x:c r="P63" s="118"/>
      <x:c r="Q63" s="120"/>
      <x:c r="R63" s="120"/>
      <x:c r="S63" s="118"/>
      <x:c r="T63" s="118"/>
      <x:c r="U63" s="118"/>
      <x:c r="V63" s="118"/>
      <x:c r="W63" s="118"/>
      <x:c r="X63" s="120"/>
      <x:c r="Y63" s="120"/>
      <x:c r="Z63" s="118"/>
      <x:c r="AA63" s="122"/>
      <x:c r="AB63" s="118"/>
      <x:c r="AC63" s="118"/>
      <x:c r="AD63" s="118"/>
      <x:c r="AE63" s="120"/>
      <x:c r="AF63" s="120"/>
      <x:c r="AG63" s="118"/>
      <x:c r="AH63" s="118"/>
      <x:c r="AI63" s="118"/>
      <x:c r="AJ63" s="118"/>
      <x:c r="AK63" s="118"/>
      <x:c r="AL63" s="120"/>
      <x:c r="AM63" s="120"/>
      <x:c r="AN63" s="118"/>
      <x:c r="AO63" s="118"/>
      <x:c r="AP63" s="118"/>
      <x:c r="AQ63" s="118"/>
      <x:c r="AR63" s="118"/>
      <x:c r="AS63" s="120"/>
      <x:c r="AT63" s="120"/>
      <x:c r="AU63" s="118"/>
      <x:c r="AV63" s="118"/>
      <x:c r="AW63" s="118"/>
      <x:c r="AX63" s="118"/>
      <x:c r="AY63" s="118"/>
      <x:c r="AZ63" s="120"/>
      <x:c r="BA63" s="120"/>
      <x:c r="BB63" s="118"/>
      <x:c r="BC63" s="118"/>
      <x:c r="BD63" s="118"/>
      <x:c r="BE63" s="118"/>
      <x:c r="BF63" s="118"/>
      <x:c r="BG63" s="120"/>
      <x:c r="BH63" s="120"/>
      <x:c r="BI63" s="118"/>
      <x:c r="BJ63" s="118"/>
      <x:c r="BK63" s="118"/>
    </x:row>
    <x:row r="64" ht="18" customHeight="1">
      <x:c r="A64" s="101" t="str">
        <x:v>T-053</x:v>
      </x:c>
      <x:c r="B64" s="101" t="str">
        <x:v>P0</x:v>
      </x:c>
      <x:c r="C64" s="101" t="str">
        <x:v>배포 및 문서화</x:v>
      </x:c>
      <x:c r="D64" s="101" t="str">
        <x:v>데이터·QA·DevOps</x:v>
      </x:c>
      <x:c r="E64" s="101" t="str">
        <x:v>김은진</x:v>
      </x:c>
      <x:c r="F64" s="101" t="str">
        <x:v>미착수</x:v>
      </x:c>
      <x:c r="G64" s="97" t="n">
        <x:v>46265</x:v>
      </x:c>
      <x:c r="H64" s="97" t="n">
        <x:v>46266</x:v>
      </x:c>
      <x:c r="I64" s="118"/>
      <x:c r="J64" s="120"/>
      <x:c r="K64" s="120"/>
      <x:c r="L64" s="118"/>
      <x:c r="M64" s="118"/>
      <x:c r="N64" s="118"/>
      <x:c r="O64" s="118"/>
      <x:c r="P64" s="118"/>
      <x:c r="Q64" s="120"/>
      <x:c r="R64" s="120"/>
      <x:c r="S64" s="118"/>
      <x:c r="T64" s="118"/>
      <x:c r="U64" s="118"/>
      <x:c r="V64" s="118"/>
      <x:c r="W64" s="118"/>
      <x:c r="X64" s="120"/>
      <x:c r="Y64" s="120"/>
      <x:c r="Z64" s="118"/>
      <x:c r="AA64" s="118"/>
      <x:c r="AB64" s="118"/>
      <x:c r="AC64" s="118"/>
      <x:c r="AD64" s="118"/>
      <x:c r="AE64" s="120"/>
      <x:c r="AF64" s="120"/>
      <x:c r="AG64" s="118"/>
      <x:c r="AH64" s="118"/>
      <x:c r="AI64" s="118"/>
      <x:c r="AJ64" s="118"/>
      <x:c r="AK64" s="118"/>
      <x:c r="AL64" s="120"/>
      <x:c r="AM64" s="120"/>
      <x:c r="AN64" s="118"/>
      <x:c r="AO64" s="118"/>
      <x:c r="AP64" s="118"/>
      <x:c r="AQ64" s="118"/>
      <x:c r="AR64" s="118"/>
      <x:c r="AS64" s="120"/>
      <x:c r="AT64" s="120"/>
      <x:c r="AU64" s="118"/>
      <x:c r="AV64" s="118"/>
      <x:c r="AW64" s="118"/>
      <x:c r="AX64" s="118"/>
      <x:c r="AY64" s="118"/>
      <x:c r="AZ64" s="120"/>
      <x:c r="BA64" s="120"/>
      <x:c r="BB64" s="122"/>
      <x:c r="BC64" s="122"/>
      <x:c r="BD64" s="118"/>
      <x:c r="BE64" s="118"/>
      <x:c r="BF64" s="118"/>
      <x:c r="BG64" s="120"/>
      <x:c r="BH64" s="120"/>
      <x:c r="BI64" s="118"/>
      <x:c r="BJ64" s="118"/>
      <x:c r="BK64" s="118"/>
    </x:row>
    <x:row r="65" ht="18" customHeight="1">
      <x:c r="A65" s="101" t="str">
        <x:v>T-054</x:v>
      </x:c>
      <x:c r="B65" s="101" t="str">
        <x:v>P0</x:v>
      </x:c>
      <x:c r="C65" s="101" t="str">
        <x:v>최종 통합 검수</x:v>
      </x:c>
      <x:c r="D65" s="101" t="str">
        <x:v>PM·기술 통합</x:v>
      </x:c>
      <x:c r="E65" s="101" t="str">
        <x:v>윤승혁</x:v>
      </x:c>
      <x:c r="F65" s="101" t="str">
        <x:v>미착수</x:v>
      </x:c>
      <x:c r="G65" s="97" t="n">
        <x:v>46267</x:v>
      </x:c>
      <x:c r="H65" s="97" t="n">
        <x:v>46267</x:v>
      </x:c>
      <x:c r="I65" s="118"/>
      <x:c r="J65" s="120"/>
      <x:c r="K65" s="120"/>
      <x:c r="L65" s="118"/>
      <x:c r="M65" s="118"/>
      <x:c r="N65" s="118"/>
      <x:c r="O65" s="118"/>
      <x:c r="P65" s="118"/>
      <x:c r="Q65" s="120"/>
      <x:c r="R65" s="120"/>
      <x:c r="S65" s="118"/>
      <x:c r="T65" s="118"/>
      <x:c r="U65" s="118"/>
      <x:c r="V65" s="118"/>
      <x:c r="W65" s="118"/>
      <x:c r="X65" s="120"/>
      <x:c r="Y65" s="120"/>
      <x:c r="Z65" s="118"/>
      <x:c r="AA65" s="118"/>
      <x:c r="AB65" s="118"/>
      <x:c r="AC65" s="118"/>
      <x:c r="AD65" s="118"/>
      <x:c r="AE65" s="120"/>
      <x:c r="AF65" s="120"/>
      <x:c r="AG65" s="118"/>
      <x:c r="AH65" s="118"/>
      <x:c r="AI65" s="118"/>
      <x:c r="AJ65" s="118"/>
      <x:c r="AK65" s="118"/>
      <x:c r="AL65" s="120"/>
      <x:c r="AM65" s="120"/>
      <x:c r="AN65" s="118"/>
      <x:c r="AO65" s="118"/>
      <x:c r="AP65" s="118"/>
      <x:c r="AQ65" s="118"/>
      <x:c r="AR65" s="118"/>
      <x:c r="AS65" s="120"/>
      <x:c r="AT65" s="120"/>
      <x:c r="AU65" s="118"/>
      <x:c r="AV65" s="118"/>
      <x:c r="AW65" s="118"/>
      <x:c r="AX65" s="118"/>
      <x:c r="AY65" s="118"/>
      <x:c r="AZ65" s="120"/>
      <x:c r="BA65" s="120"/>
      <x:c r="BB65" s="118"/>
      <x:c r="BC65" s="118"/>
      <x:c r="BD65" s="122"/>
      <x:c r="BE65" s="118"/>
      <x:c r="BF65" s="118"/>
      <x:c r="BG65" s="120"/>
      <x:c r="BH65" s="120"/>
      <x:c r="BI65" s="118"/>
      <x:c r="BJ65" s="118"/>
      <x:c r="BK65" s="118"/>
    </x:row>
    <x:row r="66" ht="18" customHeight="1">
      <x:c r="A66" s="101" t="str">
        <x:v>T-055</x:v>
      </x:c>
      <x:c r="B66" s="101" t="str">
        <x:v>P0</x:v>
      </x:c>
      <x:c r="C66" s="101" t="str">
        <x:v>사후 상태 확인</x:v>
      </x:c>
      <x:c r="D66" s="101" t="str">
        <x:v>백엔드·데이터베이스</x:v>
      </x:c>
      <x:c r="E66" s="101" t="str">
        <x:v>최지용</x:v>
      </x:c>
      <x:c r="F66" s="101" t="str">
        <x:v>미착수</x:v>
      </x:c>
      <x:c r="G66" s="97" t="n">
        <x:v>46253</x:v>
      </x:c>
      <x:c r="H66" s="97" t="n">
        <x:v>46253</x:v>
      </x:c>
      <x:c r="I66" s="118"/>
      <x:c r="J66" s="120"/>
      <x:c r="K66" s="120"/>
      <x:c r="L66" s="118"/>
      <x:c r="M66" s="118"/>
      <x:c r="N66" s="118"/>
      <x:c r="O66" s="118"/>
      <x:c r="P66" s="118"/>
      <x:c r="Q66" s="120"/>
      <x:c r="R66" s="120"/>
      <x:c r="S66" s="118"/>
      <x:c r="T66" s="118"/>
      <x:c r="U66" s="118"/>
      <x:c r="V66" s="118"/>
      <x:c r="W66" s="118"/>
      <x:c r="X66" s="120"/>
      <x:c r="Y66" s="120"/>
      <x:c r="Z66" s="118"/>
      <x:c r="AA66" s="118"/>
      <x:c r="AB66" s="118"/>
      <x:c r="AC66" s="118"/>
      <x:c r="AD66" s="118"/>
      <x:c r="AE66" s="120"/>
      <x:c r="AF66" s="120"/>
      <x:c r="AG66" s="118"/>
      <x:c r="AH66" s="118"/>
      <x:c r="AI66" s="118"/>
      <x:c r="AJ66" s="118"/>
      <x:c r="AK66" s="118"/>
      <x:c r="AL66" s="120"/>
      <x:c r="AM66" s="120"/>
      <x:c r="AN66" s="118"/>
      <x:c r="AO66" s="118"/>
      <x:c r="AP66" s="122"/>
      <x:c r="AQ66" s="118"/>
      <x:c r="AR66" s="118"/>
      <x:c r="AS66" s="120"/>
      <x:c r="AT66" s="120"/>
      <x:c r="AU66" s="118"/>
      <x:c r="AV66" s="118"/>
      <x:c r="AW66" s="118"/>
      <x:c r="AX66" s="118"/>
      <x:c r="AY66" s="118"/>
      <x:c r="AZ66" s="120"/>
      <x:c r="BA66" s="120"/>
      <x:c r="BB66" s="118"/>
      <x:c r="BC66" s="118"/>
      <x:c r="BD66" s="118"/>
      <x:c r="BE66" s="118"/>
      <x:c r="BF66" s="118"/>
      <x:c r="BG66" s="120"/>
      <x:c r="BH66" s="120"/>
      <x:c r="BI66" s="118"/>
      <x:c r="BJ66" s="118"/>
      <x:c r="BK66" s="118"/>
    </x:row>
    <x:row r="67" ht="18" customHeight="1">
      <x:c r="A67" s="101" t="str">
        <x:v>T-101</x:v>
      </x:c>
      <x:c r="B67" s="101" t="str">
        <x:v>P1</x:v>
      </x:c>
      <x:c r="C67" s="101" t="str">
        <x:v>P1 운영 관리</x:v>
      </x:c>
      <x:c r="D67" s="101" t="str">
        <x:v>웹 프론트엔드</x:v>
      </x:c>
      <x:c r="E67" s="101" t="str">
        <x:v>한예나</x:v>
      </x:c>
      <x:c r="F67" s="101" t="str">
        <x:v>미착수</x:v>
      </x:c>
      <x:c r="G67" s="97" t="n">
        <x:v>46272</x:v>
      </x:c>
      <x:c r="H67" s="97" t="n">
        <x:v>46272</x:v>
      </x:c>
      <x:c r="I67" s="118"/>
      <x:c r="J67" s="120"/>
      <x:c r="K67" s="120"/>
      <x:c r="L67" s="118"/>
      <x:c r="M67" s="118"/>
      <x:c r="N67" s="118"/>
      <x:c r="O67" s="118"/>
      <x:c r="P67" s="118"/>
      <x:c r="Q67" s="120"/>
      <x:c r="R67" s="120"/>
      <x:c r="S67" s="118"/>
      <x:c r="T67" s="118"/>
      <x:c r="U67" s="118"/>
      <x:c r="V67" s="118"/>
      <x:c r="W67" s="118"/>
      <x:c r="X67" s="120"/>
      <x:c r="Y67" s="120"/>
      <x:c r="Z67" s="118"/>
      <x:c r="AA67" s="118"/>
      <x:c r="AB67" s="118"/>
      <x:c r="AC67" s="118"/>
      <x:c r="AD67" s="118"/>
      <x:c r="AE67" s="120"/>
      <x:c r="AF67" s="120"/>
      <x:c r="AG67" s="118"/>
      <x:c r="AH67" s="118"/>
      <x:c r="AI67" s="118"/>
      <x:c r="AJ67" s="118"/>
      <x:c r="AK67" s="118"/>
      <x:c r="AL67" s="120"/>
      <x:c r="AM67" s="120"/>
      <x:c r="AN67" s="118"/>
      <x:c r="AO67" s="118"/>
      <x:c r="AP67" s="118"/>
      <x:c r="AQ67" s="118"/>
      <x:c r="AR67" s="118"/>
      <x:c r="AS67" s="120"/>
      <x:c r="AT67" s="120"/>
      <x:c r="AU67" s="118"/>
      <x:c r="AV67" s="118"/>
      <x:c r="AW67" s="118"/>
      <x:c r="AX67" s="118"/>
      <x:c r="AY67" s="118"/>
      <x:c r="AZ67" s="120"/>
      <x:c r="BA67" s="120"/>
      <x:c r="BB67" s="118"/>
      <x:c r="BC67" s="118"/>
      <x:c r="BD67" s="118"/>
      <x:c r="BE67" s="118"/>
      <x:c r="BF67" s="118"/>
      <x:c r="BG67" s="120"/>
      <x:c r="BH67" s="120"/>
      <x:c r="BI67" s="122"/>
      <x:c r="BJ67" s="118"/>
      <x:c r="BK67" s="118"/>
    </x:row>
    <x:row r="68" ht="18" customHeight="1">
      <x:c r="A68" s="101" t="str">
        <x:v>T-102</x:v>
      </x:c>
      <x:c r="B68" s="101" t="str">
        <x:v>P1</x:v>
      </x:c>
      <x:c r="C68" s="101" t="str">
        <x:v>P1 운영 관리</x:v>
      </x:c>
      <x:c r="D68" s="101" t="str">
        <x:v>웹 프론트엔드</x:v>
      </x:c>
      <x:c r="E68" s="101" t="str">
        <x:v>한예나</x:v>
      </x:c>
      <x:c r="F68" s="101" t="str">
        <x:v>미착수</x:v>
      </x:c>
      <x:c r="G68" s="97" t="n">
        <x:v>46269</x:v>
      </x:c>
      <x:c r="H68" s="97" t="n">
        <x:v>46269</x:v>
      </x:c>
      <x:c r="I68" s="118"/>
      <x:c r="J68" s="120"/>
      <x:c r="K68" s="120"/>
      <x:c r="L68" s="118"/>
      <x:c r="M68" s="118"/>
      <x:c r="N68" s="118"/>
      <x:c r="O68" s="118"/>
      <x:c r="P68" s="118"/>
      <x:c r="Q68" s="120"/>
      <x:c r="R68" s="120"/>
      <x:c r="S68" s="118"/>
      <x:c r="T68" s="118"/>
      <x:c r="U68" s="118"/>
      <x:c r="V68" s="118"/>
      <x:c r="W68" s="118"/>
      <x:c r="X68" s="120"/>
      <x:c r="Y68" s="120"/>
      <x:c r="Z68" s="118"/>
      <x:c r="AA68" s="118"/>
      <x:c r="AB68" s="118"/>
      <x:c r="AC68" s="118"/>
      <x:c r="AD68" s="118"/>
      <x:c r="AE68" s="120"/>
      <x:c r="AF68" s="120"/>
      <x:c r="AG68" s="118"/>
      <x:c r="AH68" s="118"/>
      <x:c r="AI68" s="118"/>
      <x:c r="AJ68" s="118"/>
      <x:c r="AK68" s="118"/>
      <x:c r="AL68" s="120"/>
      <x:c r="AM68" s="120"/>
      <x:c r="AN68" s="118"/>
      <x:c r="AO68" s="118"/>
      <x:c r="AP68" s="118"/>
      <x:c r="AQ68" s="118"/>
      <x:c r="AR68" s="118"/>
      <x:c r="AS68" s="120"/>
      <x:c r="AT68" s="120"/>
      <x:c r="AU68" s="118"/>
      <x:c r="AV68" s="118"/>
      <x:c r="AW68" s="118"/>
      <x:c r="AX68" s="118"/>
      <x:c r="AY68" s="118"/>
      <x:c r="AZ68" s="120"/>
      <x:c r="BA68" s="120"/>
      <x:c r="BB68" s="118"/>
      <x:c r="BC68" s="118"/>
      <x:c r="BD68" s="118"/>
      <x:c r="BE68" s="118"/>
      <x:c r="BF68" s="122"/>
      <x:c r="BG68" s="120"/>
      <x:c r="BH68" s="120"/>
      <x:c r="BI68" s="118"/>
      <x:c r="BJ68" s="118"/>
      <x:c r="BK68" s="118"/>
    </x:row>
    <x:row r="69" ht="18" customHeight="1">
      <x:c r="A69" s="101" t="str">
        <x:v>T-103</x:v>
      </x:c>
      <x:c r="B69" s="101" t="str">
        <x:v>P1</x:v>
      </x:c>
      <x:c r="C69" s="101" t="str">
        <x:v>P1 운영 관리</x:v>
      </x:c>
      <x:c r="D69" s="101" t="str">
        <x:v>웹 프론트엔드</x:v>
      </x:c>
      <x:c r="E69" s="101" t="str">
        <x:v>한예나</x:v>
      </x:c>
      <x:c r="F69" s="101" t="str">
        <x:v>미착수</x:v>
      </x:c>
      <x:c r="G69" s="97" t="n">
        <x:v>46269</x:v>
      </x:c>
      <x:c r="H69" s="97" t="n">
        <x:v>46269</x:v>
      </x:c>
      <x:c r="I69" s="118"/>
      <x:c r="J69" s="120"/>
      <x:c r="K69" s="120"/>
      <x:c r="L69" s="118"/>
      <x:c r="M69" s="118"/>
      <x:c r="N69" s="118"/>
      <x:c r="O69" s="118"/>
      <x:c r="P69" s="118"/>
      <x:c r="Q69" s="120"/>
      <x:c r="R69" s="120"/>
      <x:c r="S69" s="118"/>
      <x:c r="T69" s="118"/>
      <x:c r="U69" s="118"/>
      <x:c r="V69" s="118"/>
      <x:c r="W69" s="118"/>
      <x:c r="X69" s="120"/>
      <x:c r="Y69" s="120"/>
      <x:c r="Z69" s="118"/>
      <x:c r="AA69" s="118"/>
      <x:c r="AB69" s="118"/>
      <x:c r="AC69" s="118"/>
      <x:c r="AD69" s="118"/>
      <x:c r="AE69" s="120"/>
      <x:c r="AF69" s="120"/>
      <x:c r="AG69" s="118"/>
      <x:c r="AH69" s="118"/>
      <x:c r="AI69" s="118"/>
      <x:c r="AJ69" s="118"/>
      <x:c r="AK69" s="118"/>
      <x:c r="AL69" s="120"/>
      <x:c r="AM69" s="120"/>
      <x:c r="AN69" s="118"/>
      <x:c r="AO69" s="118"/>
      <x:c r="AP69" s="118"/>
      <x:c r="AQ69" s="118"/>
      <x:c r="AR69" s="118"/>
      <x:c r="AS69" s="120"/>
      <x:c r="AT69" s="120"/>
      <x:c r="AU69" s="118"/>
      <x:c r="AV69" s="118"/>
      <x:c r="AW69" s="118"/>
      <x:c r="AX69" s="118"/>
      <x:c r="AY69" s="118"/>
      <x:c r="AZ69" s="120"/>
      <x:c r="BA69" s="120"/>
      <x:c r="BB69" s="118"/>
      <x:c r="BC69" s="118"/>
      <x:c r="BD69" s="118"/>
      <x:c r="BE69" s="118"/>
      <x:c r="BF69" s="122"/>
      <x:c r="BG69" s="120"/>
      <x:c r="BH69" s="120"/>
      <x:c r="BI69" s="118"/>
      <x:c r="BJ69" s="118"/>
      <x:c r="BK69" s="118"/>
    </x:row>
    <x:row r="70" ht="18" customHeight="1">
      <x:c r="A70" s="111" t="str">
        <x:v>T-104</x:v>
      </x:c>
      <x:c r="B70" s="111" t="str">
        <x:v>P1</x:v>
      </x:c>
      <x:c r="C70" s="111" t="str">
        <x:v>P1 사용성</x:v>
      </x:c>
      <x:c r="D70" s="111" t="str">
        <x:v>웹 프론트엔드</x:v>
      </x:c>
      <x:c r="E70" s="111" t="str">
        <x:v>한예나</x:v>
      </x:c>
      <x:c r="F70" s="111" t="str">
        <x:v>미착수</x:v>
      </x:c>
      <x:c r="G70" s="113" t="n">
        <x:v>46273</x:v>
      </x:c>
      <x:c r="H70" s="113" t="n">
        <x:v>46273</x:v>
      </x:c>
      <x:c r="I70" s="118"/>
      <x:c r="J70" s="120"/>
      <x:c r="K70" s="120"/>
      <x:c r="L70" s="118"/>
      <x:c r="M70" s="118"/>
      <x:c r="N70" s="118"/>
      <x:c r="O70" s="118"/>
      <x:c r="P70" s="118"/>
      <x:c r="Q70" s="120"/>
      <x:c r="R70" s="120"/>
      <x:c r="S70" s="118"/>
      <x:c r="T70" s="118"/>
      <x:c r="U70" s="118"/>
      <x:c r="V70" s="118"/>
      <x:c r="W70" s="118"/>
      <x:c r="X70" s="120"/>
      <x:c r="Y70" s="120"/>
      <x:c r="Z70" s="118"/>
      <x:c r="AA70" s="118"/>
      <x:c r="AB70" s="118"/>
      <x:c r="AC70" s="118"/>
      <x:c r="AD70" s="118"/>
      <x:c r="AE70" s="120"/>
      <x:c r="AF70" s="120"/>
      <x:c r="AG70" s="118"/>
      <x:c r="AH70" s="118"/>
      <x:c r="AI70" s="118"/>
      <x:c r="AJ70" s="118"/>
      <x:c r="AK70" s="118"/>
      <x:c r="AL70" s="120"/>
      <x:c r="AM70" s="120"/>
      <x:c r="AN70" s="118"/>
      <x:c r="AO70" s="118"/>
      <x:c r="AP70" s="118"/>
      <x:c r="AQ70" s="118"/>
      <x:c r="AR70" s="118"/>
      <x:c r="AS70" s="120"/>
      <x:c r="AT70" s="120"/>
      <x:c r="AU70" s="118"/>
      <x:c r="AV70" s="118"/>
      <x:c r="AW70" s="118"/>
      <x:c r="AX70" s="118"/>
      <x:c r="AY70" s="118"/>
      <x:c r="AZ70" s="120"/>
      <x:c r="BA70" s="120"/>
      <x:c r="BB70" s="118"/>
      <x:c r="BC70" s="118"/>
      <x:c r="BD70" s="118"/>
      <x:c r="BE70" s="118"/>
      <x:c r="BF70" s="118"/>
      <x:c r="BG70" s="120"/>
      <x:c r="BH70" s="120"/>
      <x:c r="BI70" s="118"/>
      <x:c r="BJ70" s="122"/>
      <x:c r="BK70" s="118"/>
    </x:row>
    <x:row r="71" ht="18" customHeight="1">
      <x:c r="A71" s="111" t="str">
        <x:v>T-105</x:v>
      </x:c>
      <x:c r="B71" s="111" t="str">
        <x:v>P1</x:v>
      </x:c>
      <x:c r="C71" s="111" t="str">
        <x:v>P1 유지보수성</x:v>
      </x:c>
      <x:c r="D71" s="111" t="str">
        <x:v>AI·RAG</x:v>
      </x:c>
      <x:c r="E71" s="111" t="str">
        <x:v>이동윤</x:v>
      </x:c>
      <x:c r="F71" s="111" t="str">
        <x:v>미착수</x:v>
      </x:c>
      <x:c r="G71" s="113" t="n">
        <x:v>46269</x:v>
      </x:c>
      <x:c r="H71" s="113" t="n">
        <x:v>46269</x:v>
      </x:c>
      <x:c r="I71" s="118"/>
      <x:c r="J71" s="120"/>
      <x:c r="K71" s="120"/>
      <x:c r="L71" s="118"/>
      <x:c r="M71" s="118"/>
      <x:c r="N71" s="118"/>
      <x:c r="O71" s="118"/>
      <x:c r="P71" s="118"/>
      <x:c r="Q71" s="120"/>
      <x:c r="R71" s="120"/>
      <x:c r="S71" s="118"/>
      <x:c r="T71" s="118"/>
      <x:c r="U71" s="118"/>
      <x:c r="V71" s="118"/>
      <x:c r="W71" s="118"/>
      <x:c r="X71" s="120"/>
      <x:c r="Y71" s="120"/>
      <x:c r="Z71" s="118"/>
      <x:c r="AA71" s="118"/>
      <x:c r="AB71" s="118"/>
      <x:c r="AC71" s="118"/>
      <x:c r="AD71" s="118"/>
      <x:c r="AE71" s="120"/>
      <x:c r="AF71" s="120"/>
      <x:c r="AG71" s="118"/>
      <x:c r="AH71" s="118"/>
      <x:c r="AI71" s="118"/>
      <x:c r="AJ71" s="118"/>
      <x:c r="AK71" s="118"/>
      <x:c r="AL71" s="120"/>
      <x:c r="AM71" s="120"/>
      <x:c r="AN71" s="118"/>
      <x:c r="AO71" s="118"/>
      <x:c r="AP71" s="118"/>
      <x:c r="AQ71" s="118"/>
      <x:c r="AR71" s="118"/>
      <x:c r="AS71" s="120"/>
      <x:c r="AT71" s="120"/>
      <x:c r="AU71" s="118"/>
      <x:c r="AV71" s="118"/>
      <x:c r="AW71" s="118"/>
      <x:c r="AX71" s="118"/>
      <x:c r="AY71" s="118"/>
      <x:c r="AZ71" s="120"/>
      <x:c r="BA71" s="120"/>
      <x:c r="BB71" s="118"/>
      <x:c r="BC71" s="118"/>
      <x:c r="BD71" s="118"/>
      <x:c r="BE71" s="118"/>
      <x:c r="BF71" s="122"/>
      <x:c r="BG71" s="120"/>
      <x:c r="BH71" s="120"/>
      <x:c r="BI71" s="118"/>
      <x:c r="BJ71" s="118"/>
      <x:c r="BK71" s="118"/>
    </x:row>
    <x:row r="72" ht="18" customHeight="1">
      <x:c r="A72" s="111" t="str">
        <x:v>T-106</x:v>
      </x:c>
      <x:c r="B72" s="111" t="str">
        <x:v>P1</x:v>
      </x:c>
      <x:c r="C72" s="111" t="str">
        <x:v>P1 성능</x:v>
      </x:c>
      <x:c r="D72" s="111" t="str">
        <x:v>백엔드·데이터베이스</x:v>
      </x:c>
      <x:c r="E72" s="111" t="str">
        <x:v>최지용</x:v>
      </x:c>
      <x:c r="F72" s="111" t="str">
        <x:v>미착수</x:v>
      </x:c>
      <x:c r="G72" s="113" t="n">
        <x:v>46272</x:v>
      </x:c>
      <x:c r="H72" s="113" t="n">
        <x:v>46272</x:v>
      </x:c>
      <x:c r="I72" s="118"/>
      <x:c r="J72" s="120"/>
      <x:c r="K72" s="120"/>
      <x:c r="L72" s="118"/>
      <x:c r="M72" s="118"/>
      <x:c r="N72" s="118"/>
      <x:c r="O72" s="118"/>
      <x:c r="P72" s="118"/>
      <x:c r="Q72" s="120"/>
      <x:c r="R72" s="120"/>
      <x:c r="S72" s="118"/>
      <x:c r="T72" s="118"/>
      <x:c r="U72" s="118"/>
      <x:c r="V72" s="118"/>
      <x:c r="W72" s="118"/>
      <x:c r="X72" s="120"/>
      <x:c r="Y72" s="120"/>
      <x:c r="Z72" s="118"/>
      <x:c r="AA72" s="118"/>
      <x:c r="AB72" s="118"/>
      <x:c r="AC72" s="118"/>
      <x:c r="AD72" s="118"/>
      <x:c r="AE72" s="120"/>
      <x:c r="AF72" s="120"/>
      <x:c r="AG72" s="118"/>
      <x:c r="AH72" s="118"/>
      <x:c r="AI72" s="118"/>
      <x:c r="AJ72" s="118"/>
      <x:c r="AK72" s="118"/>
      <x:c r="AL72" s="120"/>
      <x:c r="AM72" s="120"/>
      <x:c r="AN72" s="118"/>
      <x:c r="AO72" s="118"/>
      <x:c r="AP72" s="118"/>
      <x:c r="AQ72" s="118"/>
      <x:c r="AR72" s="118"/>
      <x:c r="AS72" s="120"/>
      <x:c r="AT72" s="120"/>
      <x:c r="AU72" s="118"/>
      <x:c r="AV72" s="118"/>
      <x:c r="AW72" s="118"/>
      <x:c r="AX72" s="118"/>
      <x:c r="AY72" s="118"/>
      <x:c r="AZ72" s="120"/>
      <x:c r="BA72" s="120"/>
      <x:c r="BB72" s="118"/>
      <x:c r="BC72" s="118"/>
      <x:c r="BD72" s="118"/>
      <x:c r="BE72" s="118"/>
      <x:c r="BF72" s="118"/>
      <x:c r="BG72" s="120"/>
      <x:c r="BH72" s="120"/>
      <x:c r="BI72" s="122"/>
      <x:c r="BJ72" s="118"/>
      <x:c r="BK72" s="118"/>
    </x:row>
    <x:row r="73" ht="18" customHeight="1">
      <x:c r="A73" s="111" t="str">
        <x:v>T-107</x:v>
      </x:c>
      <x:c r="B73" s="111" t="str">
        <x:v>P1</x:v>
      </x:c>
      <x:c r="C73" s="111" t="str">
        <x:v>P1 계정 권한 관리</x:v>
      </x:c>
      <x:c r="D73" s="111" t="str">
        <x:v>백엔드·데이터베이스</x:v>
      </x:c>
      <x:c r="E73" s="111" t="str">
        <x:v>최지용</x:v>
      </x:c>
      <x:c r="F73" s="111" t="str">
        <x:v>미착수</x:v>
      </x:c>
      <x:c r="G73" s="113" t="n">
        <x:v>46269</x:v>
      </x:c>
      <x:c r="H73" s="113" t="n">
        <x:v>46269</x:v>
      </x:c>
      <x:c r="I73" s="118"/>
      <x:c r="J73" s="120"/>
      <x:c r="K73" s="120"/>
      <x:c r="L73" s="118"/>
      <x:c r="M73" s="118"/>
      <x:c r="N73" s="118"/>
      <x:c r="O73" s="118"/>
      <x:c r="P73" s="118"/>
      <x:c r="Q73" s="120"/>
      <x:c r="R73" s="120"/>
      <x:c r="S73" s="118"/>
      <x:c r="T73" s="118"/>
      <x:c r="U73" s="118"/>
      <x:c r="V73" s="118"/>
      <x:c r="W73" s="118"/>
      <x:c r="X73" s="120"/>
      <x:c r="Y73" s="120"/>
      <x:c r="Z73" s="118"/>
      <x:c r="AA73" s="118"/>
      <x:c r="AB73" s="118"/>
      <x:c r="AC73" s="118"/>
      <x:c r="AD73" s="118"/>
      <x:c r="AE73" s="120"/>
      <x:c r="AF73" s="120"/>
      <x:c r="AG73" s="118"/>
      <x:c r="AH73" s="118"/>
      <x:c r="AI73" s="118"/>
      <x:c r="AJ73" s="118"/>
      <x:c r="AK73" s="118"/>
      <x:c r="AL73" s="120"/>
      <x:c r="AM73" s="120"/>
      <x:c r="AN73" s="118"/>
      <x:c r="AO73" s="118"/>
      <x:c r="AP73" s="118"/>
      <x:c r="AQ73" s="118"/>
      <x:c r="AR73" s="118"/>
      <x:c r="AS73" s="120"/>
      <x:c r="AT73" s="120"/>
      <x:c r="AU73" s="118"/>
      <x:c r="AV73" s="118"/>
      <x:c r="AW73" s="118"/>
      <x:c r="AX73" s="118"/>
      <x:c r="AY73" s="118"/>
      <x:c r="AZ73" s="120"/>
      <x:c r="BA73" s="120"/>
      <x:c r="BB73" s="118"/>
      <x:c r="BC73" s="118"/>
      <x:c r="BD73" s="118"/>
      <x:c r="BE73" s="118"/>
      <x:c r="BF73" s="122"/>
      <x:c r="BG73" s="120"/>
      <x:c r="BH73" s="120"/>
      <x:c r="BI73" s="118"/>
      <x:c r="BJ73" s="118"/>
      <x:c r="BK73" s="118"/>
    </x:row>
    <x:row r="74" ht="18" customHeight="1">
      <x:c r="A74" s="111" t="str">
        <x:v>T-108</x:v>
      </x:c>
      <x:c r="B74" s="111" t="str">
        <x:v>P1</x:v>
      </x:c>
      <x:c r="C74" s="111" t="str">
        <x:v>P1 본인 프로필 API</x:v>
      </x:c>
      <x:c r="D74" s="111" t="str">
        <x:v>백엔드·데이터베이스</x:v>
      </x:c>
      <x:c r="E74" s="111" t="str">
        <x:v>최지용</x:v>
      </x:c>
      <x:c r="F74" s="111" t="str">
        <x:v>미착수</x:v>
      </x:c>
      <x:c r="G74" s="113" t="n">
        <x:v>46269</x:v>
      </x:c>
      <x:c r="H74" s="113" t="n">
        <x:v>46269</x:v>
      </x:c>
      <x:c r="I74" s="118"/>
      <x:c r="J74" s="120"/>
      <x:c r="K74" s="120"/>
      <x:c r="L74" s="118"/>
      <x:c r="M74" s="118"/>
      <x:c r="N74" s="118"/>
      <x:c r="O74" s="118"/>
      <x:c r="P74" s="118"/>
      <x:c r="Q74" s="120"/>
      <x:c r="R74" s="120"/>
      <x:c r="S74" s="118"/>
      <x:c r="T74" s="118"/>
      <x:c r="U74" s="118"/>
      <x:c r="V74" s="118"/>
      <x:c r="W74" s="118"/>
      <x:c r="X74" s="120"/>
      <x:c r="Y74" s="120"/>
      <x:c r="Z74" s="118"/>
      <x:c r="AA74" s="118"/>
      <x:c r="AB74" s="118"/>
      <x:c r="AC74" s="118"/>
      <x:c r="AD74" s="118"/>
      <x:c r="AE74" s="120"/>
      <x:c r="AF74" s="120"/>
      <x:c r="AG74" s="118"/>
      <x:c r="AH74" s="118"/>
      <x:c r="AI74" s="118"/>
      <x:c r="AJ74" s="118"/>
      <x:c r="AK74" s="118"/>
      <x:c r="AL74" s="120"/>
      <x:c r="AM74" s="120"/>
      <x:c r="AN74" s="118"/>
      <x:c r="AO74" s="118"/>
      <x:c r="AP74" s="118"/>
      <x:c r="AQ74" s="118"/>
      <x:c r="AR74" s="118"/>
      <x:c r="AS74" s="120"/>
      <x:c r="AT74" s="120"/>
      <x:c r="AU74" s="118"/>
      <x:c r="AV74" s="118"/>
      <x:c r="AW74" s="118"/>
      <x:c r="AX74" s="118"/>
      <x:c r="AY74" s="118"/>
      <x:c r="AZ74" s="120"/>
      <x:c r="BA74" s="120"/>
      <x:c r="BB74" s="118"/>
      <x:c r="BC74" s="118"/>
      <x:c r="BD74" s="118"/>
      <x:c r="BE74" s="118"/>
      <x:c r="BF74" s="122"/>
      <x:c r="BG74" s="120"/>
      <x:c r="BH74" s="120"/>
      <x:c r="BI74" s="118"/>
      <x:c r="BJ74" s="118"/>
      <x:c r="BK74" s="118"/>
    </x:row>
    <x:row r="75" ht="18" customHeight="1">
      <x:c r="A75" s="111" t="str">
        <x:v>T-109</x:v>
      </x:c>
      <x:c r="B75" s="111" t="str">
        <x:v>P1</x:v>
      </x:c>
      <x:c r="C75" s="111" t="str">
        <x:v>P1 고객·기사 프로필</x:v>
      </x:c>
      <x:c r="D75" s="111" t="str">
        <x:v>모바일 앱 개발</x:v>
      </x:c>
      <x:c r="E75" s="111" t="str">
        <x:v>양정현</x:v>
      </x:c>
      <x:c r="F75" s="111" t="str">
        <x:v>미착수</x:v>
      </x:c>
      <x:c r="G75" s="113" t="n">
        <x:v>46272</x:v>
      </x:c>
      <x:c r="H75" s="113" t="n">
        <x:v>46272</x:v>
      </x:c>
      <x:c r="I75" s="118"/>
      <x:c r="J75" s="120"/>
      <x:c r="K75" s="120"/>
      <x:c r="L75" s="118"/>
      <x:c r="M75" s="118"/>
      <x:c r="N75" s="118"/>
      <x:c r="O75" s="118"/>
      <x:c r="P75" s="118"/>
      <x:c r="Q75" s="120"/>
      <x:c r="R75" s="120"/>
      <x:c r="S75" s="118"/>
      <x:c r="T75" s="118"/>
      <x:c r="U75" s="118"/>
      <x:c r="V75" s="118"/>
      <x:c r="W75" s="118"/>
      <x:c r="X75" s="120"/>
      <x:c r="Y75" s="120"/>
      <x:c r="Z75" s="118"/>
      <x:c r="AA75" s="118"/>
      <x:c r="AB75" s="118"/>
      <x:c r="AC75" s="118"/>
      <x:c r="AD75" s="118"/>
      <x:c r="AE75" s="120"/>
      <x:c r="AF75" s="120"/>
      <x:c r="AG75" s="118"/>
      <x:c r="AH75" s="118"/>
      <x:c r="AI75" s="118"/>
      <x:c r="AJ75" s="118"/>
      <x:c r="AK75" s="118"/>
      <x:c r="AL75" s="120"/>
      <x:c r="AM75" s="120"/>
      <x:c r="AN75" s="118"/>
      <x:c r="AO75" s="118"/>
      <x:c r="AP75" s="118"/>
      <x:c r="AQ75" s="118"/>
      <x:c r="AR75" s="118"/>
      <x:c r="AS75" s="120"/>
      <x:c r="AT75" s="120"/>
      <x:c r="AU75" s="118"/>
      <x:c r="AV75" s="118"/>
      <x:c r="AW75" s="118"/>
      <x:c r="AX75" s="118"/>
      <x:c r="AY75" s="118"/>
      <x:c r="AZ75" s="120"/>
      <x:c r="BA75" s="120"/>
      <x:c r="BB75" s="118"/>
      <x:c r="BC75" s="118"/>
      <x:c r="BD75" s="118"/>
      <x:c r="BE75" s="118"/>
      <x:c r="BF75" s="118"/>
      <x:c r="BG75" s="120"/>
      <x:c r="BH75" s="120"/>
      <x:c r="BI75" s="122"/>
      <x:c r="BJ75" s="118"/>
      <x:c r="BK75" s="118"/>
    </x:row>
    <x:row r="76" ht="18" customHeight="1">
      <x:c r="A76" s="111" t="str">
        <x:v>T-110</x:v>
      </x:c>
      <x:c r="B76" s="111" t="str">
        <x:v>P1</x:v>
      </x:c>
      <x:c r="C76" s="111" t="str">
        <x:v>P1 상담사·운영 프로필</x:v>
      </x:c>
      <x:c r="D76" s="111" t="str">
        <x:v>웹 프론트엔드</x:v>
      </x:c>
      <x:c r="E76" s="111" t="str">
        <x:v>한예나</x:v>
      </x:c>
      <x:c r="F76" s="111" t="str">
        <x:v>미착수</x:v>
      </x:c>
      <x:c r="G76" s="113" t="n">
        <x:v>46272</x:v>
      </x:c>
      <x:c r="H76" s="113" t="n">
        <x:v>46272</x:v>
      </x:c>
      <x:c r="I76" s="118"/>
      <x:c r="J76" s="120"/>
      <x:c r="K76" s="120"/>
      <x:c r="L76" s="118"/>
      <x:c r="M76" s="118"/>
      <x:c r="N76" s="118"/>
      <x:c r="O76" s="118"/>
      <x:c r="P76" s="118"/>
      <x:c r="Q76" s="120"/>
      <x:c r="R76" s="120"/>
      <x:c r="S76" s="118"/>
      <x:c r="T76" s="118"/>
      <x:c r="U76" s="118"/>
      <x:c r="V76" s="118"/>
      <x:c r="W76" s="118"/>
      <x:c r="X76" s="120"/>
      <x:c r="Y76" s="120"/>
      <x:c r="Z76" s="118"/>
      <x:c r="AA76" s="118"/>
      <x:c r="AB76" s="118"/>
      <x:c r="AC76" s="118"/>
      <x:c r="AD76" s="118"/>
      <x:c r="AE76" s="120"/>
      <x:c r="AF76" s="120"/>
      <x:c r="AG76" s="118"/>
      <x:c r="AH76" s="118"/>
      <x:c r="AI76" s="118"/>
      <x:c r="AJ76" s="118"/>
      <x:c r="AK76" s="118"/>
      <x:c r="AL76" s="120"/>
      <x:c r="AM76" s="120"/>
      <x:c r="AN76" s="118"/>
      <x:c r="AO76" s="118"/>
      <x:c r="AP76" s="118"/>
      <x:c r="AQ76" s="118"/>
      <x:c r="AR76" s="118"/>
      <x:c r="AS76" s="120"/>
      <x:c r="AT76" s="120"/>
      <x:c r="AU76" s="118"/>
      <x:c r="AV76" s="118"/>
      <x:c r="AW76" s="118"/>
      <x:c r="AX76" s="118"/>
      <x:c r="AY76" s="118"/>
      <x:c r="AZ76" s="120"/>
      <x:c r="BA76" s="120"/>
      <x:c r="BB76" s="118"/>
      <x:c r="BC76" s="118"/>
      <x:c r="BD76" s="118"/>
      <x:c r="BE76" s="118"/>
      <x:c r="BF76" s="118"/>
      <x:c r="BG76" s="120"/>
      <x:c r="BH76" s="120"/>
      <x:c r="BI76" s="122"/>
      <x:c r="BJ76" s="118"/>
      <x:c r="BK76" s="118"/>
    </x:row>
    <x:row r="77" ht="18" customHeight="1">
      <x:c r="A77" s="111" t="str">
        <x:v>T-111</x:v>
      </x:c>
      <x:c r="B77" s="111" t="str">
        <x:v>P1</x:v>
      </x:c>
      <x:c r="C77" s="111" t="str">
        <x:v>P1 통합 검수</x:v>
      </x:c>
      <x:c r="D77" s="111" t="str">
        <x:v>PM·기술 통합</x:v>
      </x:c>
      <x:c r="E77" s="111" t="str">
        <x:v>윤승혁</x:v>
      </x:c>
      <x:c r="F77" s="111" t="str">
        <x:v>미착수</x:v>
      </x:c>
      <x:c r="G77" s="113" t="n">
        <x:v>46274</x:v>
      </x:c>
      <x:c r="H77" s="113" t="n">
        <x:v>46274</x:v>
      </x:c>
      <x:c r="I77" s="118"/>
      <x:c r="J77" s="120"/>
      <x:c r="K77" s="120"/>
      <x:c r="L77" s="118"/>
      <x:c r="M77" s="118"/>
      <x:c r="N77" s="118"/>
      <x:c r="O77" s="118"/>
      <x:c r="P77" s="118"/>
      <x:c r="Q77" s="120"/>
      <x:c r="R77" s="120"/>
      <x:c r="S77" s="118"/>
      <x:c r="T77" s="118"/>
      <x:c r="U77" s="118"/>
      <x:c r="V77" s="118"/>
      <x:c r="W77" s="118"/>
      <x:c r="X77" s="120"/>
      <x:c r="Y77" s="120"/>
      <x:c r="Z77" s="118"/>
      <x:c r="AA77" s="118"/>
      <x:c r="AB77" s="118"/>
      <x:c r="AC77" s="118"/>
      <x:c r="AD77" s="118"/>
      <x:c r="AE77" s="120"/>
      <x:c r="AF77" s="120"/>
      <x:c r="AG77" s="118"/>
      <x:c r="AH77" s="118"/>
      <x:c r="AI77" s="118"/>
      <x:c r="AJ77" s="118"/>
      <x:c r="AK77" s="118"/>
      <x:c r="AL77" s="120"/>
      <x:c r="AM77" s="120"/>
      <x:c r="AN77" s="118"/>
      <x:c r="AO77" s="118"/>
      <x:c r="AP77" s="118"/>
      <x:c r="AQ77" s="118"/>
      <x:c r="AR77" s="118"/>
      <x:c r="AS77" s="120"/>
      <x:c r="AT77" s="120"/>
      <x:c r="AU77" s="118"/>
      <x:c r="AV77" s="118"/>
      <x:c r="AW77" s="118"/>
      <x:c r="AX77" s="118"/>
      <x:c r="AY77" s="118"/>
      <x:c r="AZ77" s="120"/>
      <x:c r="BA77" s="120"/>
      <x:c r="BB77" s="118"/>
      <x:c r="BC77" s="118"/>
      <x:c r="BD77" s="118"/>
      <x:c r="BE77" s="118"/>
      <x:c r="BF77" s="118"/>
      <x:c r="BG77" s="120"/>
      <x:c r="BH77" s="120"/>
      <x:c r="BI77" s="118"/>
      <x:c r="BJ77" s="118"/>
      <x:c r="BK77" s="122"/>
    </x:row>
  </x:sheetData>
  <x:mergeCells>
    <x:mergeCell ref="A1:BK1"/>
  </x:mergeCells>
  <x:pageMargins left="0.7" right="0.7" top="0.75" bottom="0.75" header="0.3" footer="0.3"/>
</x:worksheet>
</file>

<file path=xl/worksheets/sheet4.xml><?xml version="1.0" encoding="utf-8"?>
<x:worksheet xmlns:x="http://schemas.openxmlformats.org/spreadsheetml/2006/main">
  <x:sheetFormatPr defaultRowHeight="14"/>
  <x:cols>
    <x:col min="1" max="1" width="14" customWidth="1"/>
    <x:col min="2" max="2" width="12" customWidth="1"/>
    <x:col min="3" max="3" width="24" customWidth="1"/>
    <x:col min="4" max="4" width="14" customWidth="1"/>
  </x:cols>
  <x:sheetData>
    <x:row r="1">
      <x:c r="A1" s="1" t="s">
        <x:v>28</x:v>
      </x:c>
      <x:c r="B1" s="1" t="s">
        <x:v>83</x:v>
      </x:c>
      <x:c r="C1" s="1" t="s">
        <x:v>25</x:v>
      </x:c>
      <x:c r="D1" s="1" t="s">
        <x:v>88</x:v>
      </x:c>
    </x:row>
    <x:row r="2">
      <x:c r="A2" t="s">
        <x:v>30</x:v>
      </x:c>
      <x:c r="B2" t="s">
        <x:v>97</x:v>
      </x:c>
      <x:c r="C2" t="s">
        <x:v>29</x:v>
      </x:c>
      <x:c r="D2" t="s">
        <x:v>98</x:v>
      </x:c>
    </x:row>
    <x:row r="3">
      <x:c r="A3" t="s">
        <x:v>13</x:v>
      </x:c>
      <x:c r="B3" t="s">
        <x:v>11</x:v>
      </x:c>
      <x:c r="C3" t="s">
        <x:v>31</x:v>
      </x:c>
      <x:c r="D3" t="s">
        <x:v>99</x:v>
      </x:c>
    </x:row>
    <x:row r="4">
      <x:c r="A4" t="s">
        <x:v>33</x:v>
      </x:c>
      <x:c r="C4" t="s">
        <x:v>32</x:v>
      </x:c>
      <x:c r="D4" t="s">
        <x:v>100</x:v>
      </x:c>
    </x:row>
    <x:row r="5">
      <x:c r="A5" t="s">
        <x:v>35</x:v>
      </x:c>
      <x:c r="C5" t="s">
        <x:v>34</x:v>
      </x:c>
      <x:c r="D5" t="s">
        <x:v>101</x:v>
      </x:c>
    </x:row>
    <x:row r="6">
      <x:c r="A6" t="s">
        <x:v>37</x:v>
      </x:c>
      <x:c r="C6" t="s">
        <x:v>36</x:v>
      </x:c>
      <x:c r="D6" t="s">
        <x:v>102</x:v>
      </x:c>
    </x:row>
    <x:row r="7">
      <x:c r="C7" t="s">
        <x:v>38</x:v>
      </x:c>
      <x:c r="D7" t="s">
        <x:v>103</x:v>
      </x:c>
    </x:row>
  </x:sheetData>
  <x:pageMargins left="0.7" right="0.7" top="0.75" bottom="0.75" header="0.3" footer="0.3"/>
</x:worksheet>
</file>