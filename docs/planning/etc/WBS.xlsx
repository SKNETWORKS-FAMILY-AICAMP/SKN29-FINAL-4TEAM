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윤승혁\Downloads\"/>
    </mc:Choice>
  </mc:AlternateContent>
  <xr:revisionPtr revIDLastSave="0" documentId="13_ncr:1_{EA5910A9-767B-4D38-9DD9-EEDBB53FACD5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요약" sheetId="1" r:id="rId1"/>
    <sheet name="WBS 작업목록" sheetId="2" r:id="rId2"/>
    <sheet name="WBS 갠트차트" sheetId="3" r:id="rId3"/>
    <sheet name="코드목록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9" i="2" l="1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C21" i="1"/>
  <c r="B21" i="1"/>
  <c r="G20" i="1"/>
  <c r="F20" i="1"/>
  <c r="C20" i="1"/>
  <c r="B20" i="1"/>
  <c r="G19" i="1"/>
  <c r="F19" i="1"/>
  <c r="C19" i="1"/>
  <c r="B19" i="1"/>
  <c r="G18" i="1"/>
  <c r="F18" i="1"/>
  <c r="C18" i="1"/>
  <c r="B18" i="1"/>
  <c r="G17" i="1"/>
  <c r="F17" i="1"/>
  <c r="C17" i="1"/>
  <c r="B17" i="1"/>
  <c r="G16" i="1"/>
  <c r="F16" i="1"/>
  <c r="C16" i="1"/>
  <c r="B16" i="1"/>
  <c r="L9" i="1"/>
  <c r="J9" i="1"/>
  <c r="H9" i="1"/>
  <c r="F9" i="1"/>
  <c r="L5" i="1"/>
  <c r="J5" i="1"/>
  <c r="H5" i="1"/>
  <c r="F5" i="1"/>
</calcChain>
</file>

<file path=xl/sharedStrings.xml><?xml version="1.0" encoding="utf-8"?>
<sst xmlns="http://schemas.openxmlformats.org/spreadsheetml/2006/main" count="1377" uniqueCount="489">
  <si>
    <t>정수기 구독 고객 케어 및 A/S 업무 지원 시스템 — WBS 요약</t>
  </si>
  <si>
    <t>기획서·화면설계서·요구사항정의서·수집데이터보고서 정합성 반영 | 작성 기준일 2026-07-23</t>
  </si>
  <si>
    <t>프로젝트 범위</t>
  </si>
  <si>
    <t>전체 작업</t>
  </si>
  <si>
    <t>P0 작업</t>
  </si>
  <si>
    <t>P0 공수</t>
  </si>
  <si>
    <t>완료 작업</t>
  </si>
  <si>
    <t>프로젝트 기간</t>
  </si>
  <si>
    <t>2026-07-17 ~ 2026-09-03</t>
  </si>
  <si>
    <t>P0 실작업 완료</t>
  </si>
  <si>
    <t>2026-09-02</t>
  </si>
  <si>
    <t>최종 발표</t>
  </si>
  <si>
    <t>2026-09-03 (발표만 진행)</t>
  </si>
  <si>
    <t>P1</t>
  </si>
  <si>
    <t>9/4~9/9 후속 로드맵</t>
  </si>
  <si>
    <t>진행 중</t>
  </si>
  <si>
    <t>전체 공수</t>
  </si>
  <si>
    <t>P1 로드맵</t>
  </si>
  <si>
    <t>평균 진행률</t>
  </si>
  <si>
    <t>기본 MVP</t>
  </si>
  <si>
    <t>WPUJAC104DWH / WPU-JAC104D·JCC104D REV.00</t>
  </si>
  <si>
    <t>후속 확장</t>
  </si>
  <si>
    <t>WPUIAC425SNW / MVP 비노출</t>
  </si>
  <si>
    <t>대표 시연</t>
  </si>
  <si>
    <t>SYN-JAC104-002 · DEMO-INQ-002 · 출수량 저하 · p.38</t>
  </si>
  <si>
    <t>현재 상태</t>
  </si>
  <si>
    <t>기획·화면·데이터 정합성 반영 및 기반 구현 진행 중</t>
  </si>
  <si>
    <t>담당 역할</t>
  </si>
  <si>
    <t>작업 수</t>
  </si>
  <si>
    <t>공수(인일)</t>
  </si>
  <si>
    <t>상태</t>
  </si>
  <si>
    <t>PM·기술 통합</t>
  </si>
  <si>
    <t>미착수</t>
  </si>
  <si>
    <t>모바일 앱 개발</t>
  </si>
  <si>
    <t>웹 프론트엔드</t>
  </si>
  <si>
    <t>완료</t>
  </si>
  <si>
    <t>백엔드·데이터베이스</t>
  </si>
  <si>
    <t>보류</t>
  </si>
  <si>
    <t>AI·RAG</t>
  </si>
  <si>
    <t>차단</t>
  </si>
  <si>
    <t>데이터·QA·DevOps</t>
  </si>
  <si>
    <t>핵심 확정 사항 및 WBS 반영 내용</t>
  </si>
  <si>
    <t>모델 범위</t>
  </si>
  <si>
    <t>MVP WPUJAC104DWH 고정, WPUIAC425SNW 후속 확장, WPU-IAC506 removed_legacy 및 신규 데이터·RAG·화면·시연 사용 금지</t>
  </si>
  <si>
    <t>대표 증상</t>
  </si>
  <si>
    <t>출수량 저하, 물맛·냄새 이상, 제품 누수, 냉·온수 온도 이상 4종</t>
  </si>
  <si>
    <t>역할 체계</t>
  </si>
  <si>
    <t>PM·기술 통합 / 모바일 앱 / 웹 프론트엔드 / 백엔드·DB / AI·RAG / 데이터·QA·DevOps 6개 역할</t>
  </si>
  <si>
    <t>AI 구조</t>
  </si>
  <si>
    <t>단일 RAG 기준선과 선택형 책임 분리 구조를 비교한 뒤 최종 실행 구조 확정</t>
  </si>
  <si>
    <t>사용 안내 필드</t>
  </si>
  <si>
    <t>usage_guidance_status · usage_guidance_message · restricted_functions · evidence · next_action · requires_consultation</t>
  </si>
  <si>
    <t>상태 관리</t>
  </si>
  <si>
    <t>allowed_actions, state_version, idempotency_key, correlation_id와 담당자 권한을 백엔드 State Machine에서 검증</t>
  </si>
  <si>
    <t>완료 정책</t>
  </si>
  <si>
    <t>자가조치 단독 해결은 즉시 RESOLVED, 상담·방문 경로는 COMPLETION_PENDING 후 담당자가 FINALIZE_INQUIRY</t>
  </si>
  <si>
    <t>근거 전달</t>
  </si>
  <si>
    <t>RAG·근거 레지스트리·문서 계보를 결합한 EvidenceCardDTO를 화면에 전달하고 내부 경로·원문 전체는 비노출</t>
  </si>
  <si>
    <t>주차별 목표</t>
  </si>
  <si>
    <t>1주차</t>
  </si>
  <si>
    <t>7/17</t>
  </si>
  <si>
    <t>프로젝트 착수, P0·제외 범위와 MVP 모델·대표 증상 확정</t>
  </si>
  <si>
    <t>2주차</t>
  </si>
  <si>
    <t>7/20~7/24</t>
  </si>
  <si>
    <t>서비스 흐름·역할·아키텍처·화면·데이터·안전 규칙 정합성 확정</t>
  </si>
  <si>
    <t>3주차</t>
  </si>
  <si>
    <t>7/27~7/31</t>
  </si>
  <si>
    <t>DB·State Machine·문서 전처리·평가 세트·합성 데이터 기반 구축</t>
  </si>
  <si>
    <t>4주차</t>
  </si>
  <si>
    <t>8/3~8/7</t>
  </si>
  <si>
    <t>Vector DB, 케어·문진·문의 기능 및 8/6 중간 발표</t>
  </si>
  <si>
    <t>5주차</t>
  </si>
  <si>
    <t>8/10~8/14</t>
  </si>
  <si>
    <t>단일 RAG/선택형 책임 분리 비교, 위험 분류·Guard·Fallback·근거 DTO 구현</t>
  </si>
  <si>
    <t>6주차</t>
  </si>
  <si>
    <t>8/18~8/21</t>
  </si>
  <si>
    <t>고객 모바일·상담사 웹·기사 리포트와 상담·방문 완료 정책 구현</t>
  </si>
  <si>
    <t>7주차</t>
  </si>
  <si>
    <t>8/24~8/28</t>
  </si>
  <si>
    <t>고객→상담사→기사→고객 E2E 통합, 권한·상태·안전·성능 검증</t>
  </si>
  <si>
    <t>8주차</t>
  </si>
  <si>
    <t>8/31~9/3</t>
  </si>
  <si>
    <t>9/2 제출물·배포·영상·리허설 완료, 9/3 최종 발표만 진행</t>
  </si>
  <si>
    <t>후속</t>
  </si>
  <si>
    <t>9/4~9/9</t>
  </si>
  <si>
    <t>P1 운영 대시보드·반응형·성능·유지보수 로드맵</t>
  </si>
  <si>
    <t>정수기 구독 고객 케어 및 A/S 업무 지원 시스템 — 수정 WBS</t>
  </si>
  <si>
    <t>기준: 기획서 · 화면설계서 통합본 v10 · 요구사항정의서 83건 · 수집데이터보고서 | 작성 기준일 2026-07-23</t>
  </si>
  <si>
    <t>Task ID</t>
  </si>
  <si>
    <t>우선순위</t>
  </si>
  <si>
    <t>단계</t>
  </si>
  <si>
    <t>주요 업무</t>
  </si>
  <si>
    <t>세부 업무</t>
  </si>
  <si>
    <t>연계 요구사항</t>
  </si>
  <si>
    <t>담당자</t>
  </si>
  <si>
    <t>협업·검수자</t>
  </si>
  <si>
    <t>선행 Task</t>
  </si>
  <si>
    <t>시작일</t>
  </si>
  <si>
    <t>종료일</t>
  </si>
  <si>
    <t>진행률</t>
  </si>
  <si>
    <t>차단 이슈</t>
  </si>
  <si>
    <t>완료 기준</t>
  </si>
  <si>
    <t>근거 문서·비고</t>
  </si>
  <si>
    <t>T-001</t>
  </si>
  <si>
    <t>P0</t>
  </si>
  <si>
    <t>설계·데이터 준비</t>
  </si>
  <si>
    <t>기획 및 설계</t>
  </si>
  <si>
    <t>요구사항 정의서의 P0·P1·제외 범위를 검토하고 WBS 작성 기준과 요구사항 추적 방식을 확정한다.</t>
  </si>
  <si>
    <t>전체 요구사항, CR-001~CR-012</t>
  </si>
  <si>
    <t>윤승혁</t>
  </si>
  <si>
    <t>관련 담당자</t>
  </si>
  <si>
    <t>-</t>
  </si>
  <si>
    <t>MVP 포함·후순위·제외 항목이 구분되고 모든 작업이 요구사항 ID와 연결됨</t>
  </si>
  <si>
    <t>기획서 · 요구사항정의서 · 화면설계서</t>
  </si>
  <si>
    <t>T-002</t>
  </si>
  <si>
    <t>고객 문의 접수부터 상담·방문·후속 확인·처리 완료까지 State Machine을 설계한다. START_CARE_PRECHECK, START_INQUIRY, SUBMIT_SYMPTOM, SAFE_GUIDANCE_READY, DANGER_DETECTED, NO_EVIDENCE, REQUEST_CONSULTATION, START_CONSULTATION, VISIT_NEEDED, UPDATE_VISIT_SCHEDULE, CONFIRM_VISIT, START_VISIT, VISIT_COMPLETED, SUBMIT_RESOLUTION_FEEDBACK, RESUME_CONSULTATION, FINALIZE_INQUIRY 등의 진입·가드·완료 조건을 정의한다.</t>
  </si>
  <si>
    <t>FR-019~FR-021, FR-025~FR-026, FR-032~FR-034, FR-038, NFR-015, DR-012</t>
  </si>
  <si>
    <t>상태별 진입·완료 조건, 역할·담당자 권한, 현재 담당 주체, 다음 행동, 방문 일정과 자가 해결/상담·방문 완료 정책이 상태 전이도에 정의됨</t>
  </si>
  <si>
    <t>T-003</t>
  </si>
  <si>
    <t>고객·상담사·방문기사·운영 담당자의 역할별 화면, 조회 범위와 주요 사용 흐름을 정의한다.</t>
  </si>
  <si>
    <t>FR-001, NFR-011, NFR-014~NFR-015</t>
  </si>
  <si>
    <t>T-001, T-002</t>
  </si>
  <si>
    <t>역할별 메뉴·화면·권한 매트릭스가 작성됨</t>
  </si>
  <si>
    <t>T-004</t>
  </si>
  <si>
    <t>모바일 앱·웹 프론트엔드·백엔드 API·관계형 DB·Vector DB·AI/RAG·공식 근거 레지스트리 간 전체 시스템 아키텍처와 API 경계를 설계한다.</t>
  </si>
  <si>
    <t>NFR-006, NFR-009, NFR-017</t>
  </si>
  <si>
    <t>구성도, 모듈 책임과 주요 API 목록이 확정됨</t>
  </si>
  <si>
    <t>T-005</t>
  </si>
  <si>
    <t>데이터 설계</t>
  </si>
  <si>
    <t>사용자·구독·제품·케어·문진·문의·상담·방문·상태 이력에 현재 사용 안내 상태, 판단 근거, 적용 출수·기능 범위, 현재 담당 주체, 고객 행동 필요 여부, 방문 희망일, 방문 확정일과 일정 상태를 추가하여 ERD와 표준 코드 구조를 설계한다.</t>
  </si>
  <si>
    <t>FR-026, FR-032, FR-038, NFR-015, DR-001~DR-007, DR-010~DR-012, DR-014~DR-015</t>
  </si>
  <si>
    <t>최지용</t>
  </si>
  <si>
    <t>윤승혁 · 김은진</t>
  </si>
  <si>
    <t>T-002, T-004</t>
  </si>
  <si>
    <t>사용 안내 상태와 방문 일정 상태를 포함한 테이블·필드·표준 코드가 정의됨</t>
  </si>
  <si>
    <t>T-006</t>
  </si>
  <si>
    <t>AI·Agent 설계</t>
  </si>
  <si>
    <t>AI·RAG 단계 간 공통 상태 객체와 표준 JSON 스키마를 정의한다. 현재 사용 안내 필드는 usage_guidance_status, usage_guidance_message를 사용하고 restricted_functions, evidence, next_action, requires_consultation을 포함한다.</t>
  </si>
  <si>
    <t>NFR-005~NFR-006, DR-007, DR-009</t>
  </si>
  <si>
    <t>이동윤</t>
  </si>
  <si>
    <t>최지용 · 김은진</t>
  </si>
  <si>
    <t>T-004, T-005</t>
  </si>
  <si>
    <t>usage_guidance_status, usage_guidance_message, restricted_functions, evidence, next_action, requires_consultation과 누락·재생성 규칙이 확정되고 위험도는 general/caution/danger로 통일됨</t>
  </si>
  <si>
    <t>T-007</t>
  </si>
  <si>
    <t>품질 및 테스트 설계</t>
  </si>
  <si>
    <t>P0 기능·AI·RAG·안전성·State Machine·권한·중복 요청·EvidenceCardDTO 비노출 항목에 대한 테스트 기준과 데이터 분할, 인수 기준을 설계한다.</t>
  </si>
  <si>
    <t>NFR-001~NFR-007, NFR-009~NFR-010, NFR-014~NFR-015, NFR-017</t>
  </si>
  <si>
    <t>김은진</t>
  </si>
  <si>
    <t>T-001~T-006</t>
  </si>
  <si>
    <t>4개 사용 안내 상태와 문의 진행 상태별 정답·인수 기준이 정의됨</t>
  </si>
  <si>
    <t>T-008</t>
  </si>
  <si>
    <t>데이터 수집</t>
  </si>
  <si>
    <t>기본 MVP 제품을 WPUJAC104DWH(매뉴얼 적용 모델 WPU-JAC104D·WPU-JCC104D REV.00)로 고정하고, 후속 확장 WPUIAC425SNW는 MVP 검색·화면에서 제외한다. 대표 증상은 출수량 저하, 물맛·냄새 이상, 제품 누수, 냉·온수 온도 이상 4종으로 확정한다.</t>
  </si>
  <si>
    <t>CR-002~CR-003, CR-009, CR-012</t>
  </si>
  <si>
    <t>이동윤 · 윤승혁</t>
  </si>
  <si>
    <t>MVP·확장 모델과 4개 증상이 확정되고 WPU-IAC506 removed_legacy, JAC104 S세대 혼용 금지, 대표 E2E SYN-JAC104-002/DEMO-INQ-002/매뉴얼 38쪽이 문서화됨</t>
  </si>
  <si>
    <t>T-009</t>
  </si>
  <si>
    <t>WPU-JAC104D·WPU-JCC104D REV.00 공식 매뉴얼, 조건부 공식 FAQ와 관리 기준 자료를 수집하고 출처·버전·페이지·해시·제품 세대 메타데이터를 정리한다.</t>
  </si>
  <si>
    <t>FR-015, DR-008, CR-009</t>
  </si>
  <si>
    <t>원문 파일과 문서 메타데이터 목록이 준비됨</t>
  </si>
  <si>
    <t>수집데이터보고서 · 기획서 6장 · 화면설계서 1~3장</t>
  </si>
  <si>
    <t>T-010</t>
  </si>
  <si>
    <t>RAG 데이터 구축</t>
  </si>
  <si>
    <t>공식 매뉴얼을 제품·증상·페이지 기준으로 정제·분할하고 모델·세대·적용성·사용 정책 메타데이터를 부여한다. D세대와 S세대, MVP와 후속 확장 데이터를 물리적으로 분리한다.</t>
  </si>
  <si>
    <t>FR-015, DR-008</t>
  </si>
  <si>
    <t>중복·불필요 구간이 제거된 청크 데이터가 생성됨</t>
  </si>
  <si>
    <t>T-011</t>
  </si>
  <si>
    <t>임베딩 생성, Vector DB 인덱스 구성과 제품 모델·증상 필터 기반 검색 파이프라인을 구현한다.</t>
  </si>
  <si>
    <t>FR-015, NFR-001~NFR-002, DR-008~DR-009</t>
  </si>
  <si>
    <t>질의 시 관련 청크·문서명·페이지가 반환됨</t>
  </si>
  <si>
    <t>T-012</t>
  </si>
  <si>
    <t>대표 증상별 정답 문서·페이지와 Top-k 검색 평가 세트를 구축하고, 미검증 FAQ 단독 검색과 제품·세대 불일치 검색이 차단되는지 검증한다.</t>
  </si>
  <si>
    <t>FR-015, NFR-005, DR-009</t>
  </si>
  <si>
    <t>증상별 정답 구간과 Top-k 평가용 데이터가 준비됨</t>
  </si>
  <si>
    <t>T-013</t>
  </si>
  <si>
    <t>가상 데이터 구축</t>
  </si>
  <si>
    <t>가상 사용자·구독 제품·관리 유형·필터 교체·살균·세척·다음 케어 일정 데이터를 생성한다.</t>
  </si>
  <si>
    <t>FR-002~FR-007, FR-016, DR-002~DR-005, CR-008</t>
  </si>
  <si>
    <t>T-005, T-008</t>
  </si>
  <si>
    <t>역할별 계정과 대표 구독·케어 이력이 DB에 적재 가능함</t>
  </si>
  <si>
    <t>T-014</t>
  </si>
  <si>
    <t>WPUJAC104DWH 합성 문의 6건을 생성하고 각 시나리오에 공식 근거, 기대 위험도, usage_guidance_status, 상담·방문·완료 이벤트와 해결 여부를 연결한다.</t>
  </si>
  <si>
    <t>FR-008~FR-034, FR-038, DR-006~DR-012, CR-008</t>
  </si>
  <si>
    <t>T-002, T-008, T-013</t>
  </si>
  <si>
    <t>사용 안내부터 상담·방문·후속 해결 확인까지 P0 전체 흐름을 재현할 시나리오가 준비됨</t>
  </si>
  <si>
    <t>T-015</t>
  </si>
  <si>
    <t>안전 규칙 구축</t>
  </si>
  <si>
    <t>누수·전기·화상·온수 모듈 경고와 근거 부재에 대해 일반 사용 가능, 일부 출수·기능 사용 중지, 제품 전체 사용 중지, 판단 보류·상담 필요로 분기하는 규칙·금지 행동·고객 문구를 정의한다.</t>
  </si>
  <si>
    <t>FR-013, FR-018~FR-019, FR-038, NFR-001~NFR-004, CR-010~CR-011</t>
  </si>
  <si>
    <t>김은진 · 윤승혁</t>
  </si>
  <si>
    <t>T-008, T-009</t>
  </si>
  <si>
    <t>위험·근거 조건별 사용 안내 상태, 제한 범위와 고객의 다음 행동이 규칙표로 확정됨</t>
  </si>
  <si>
    <t>T-016</t>
  </si>
  <si>
    <t>백엔드 기반</t>
  </si>
  <si>
    <t>백엔드 공통</t>
  </si>
  <si>
    <t>백엔드 프로젝트 구조, 환경변수, 공통 응답·예외 처리와 개발 환경을 구성한다.</t>
  </si>
  <si>
    <t>NFR-009, NFR-017</t>
  </si>
  <si>
    <t>로컬 환경에서 서버 실행과 공통 오류 응답이 확인됨</t>
  </si>
  <si>
    <t>요구사항정의서 · 화면설계서 State Machine/데이터 계약</t>
  </si>
  <si>
    <t>T-017</t>
  </si>
  <si>
    <t>사용자·권한</t>
  </si>
  <si>
    <t>가상 로그인과 역할 기반 접근 제어를 구현하여 역할별 API와 데이터 조회 범위를 제한한다.</t>
  </si>
  <si>
    <t>FR-001, NFR-011~NFR-012, DR-001~DR-002</t>
  </si>
  <si>
    <t>T-005, T-016</t>
  </si>
  <si>
    <t>고객은 본인 데이터, 기사는 배정 건만 접근 가능함</t>
  </si>
  <si>
    <t>T-018</t>
  </si>
  <si>
    <t>제품·구독 관리</t>
  </si>
  <si>
    <t>구독 제품 조회·등록·수정 API와 제품 선택 기능을 구현한다.</t>
  </si>
  <si>
    <t>FR-002~FR-003, DR-003</t>
  </si>
  <si>
    <t>T-005, T-016, T-017</t>
  </si>
  <si>
    <t>제품 모델·사용 시작일·관리 유형·최근 관리일이 저장·조회됨</t>
  </si>
  <si>
    <t>T-019</t>
  </si>
  <si>
    <t>케어 관리</t>
  </si>
  <si>
    <t>필터·카트리지 교체와 살균·세척 등 케어 이력 등록·조회 기능을 구현한다.</t>
  </si>
  <si>
    <t>FR-016, FR-030, DR-004</t>
  </si>
  <si>
    <t>케어 이력이 구독·제품 기준으로 누적·조회됨</t>
  </si>
  <si>
    <t>T-020</t>
  </si>
  <si>
    <t>공식 관리 주기와 최근 케어 이력을 이용한 다음 케어 예정일 산정·갱신 로직을 구현한다.</t>
  </si>
  <si>
    <t>FR-004~FR-005, FR-031, CR-012</t>
  </si>
  <si>
    <t>T-009, T-019</t>
  </si>
  <si>
    <t>근거 부재 시 확인 필요 처리와 일정 변경 이력이 동작함</t>
  </si>
  <si>
    <t>T-021</t>
  </si>
  <si>
    <t>사전 문진</t>
  </si>
  <si>
    <t>START_CARE_PRECHECK 시 Inquiry 없이 QuestionnaireSession을 생성하고 CARE_PRECHECK 문진의 미응답·작성 중·제출 완료 상태를 관리한다. 증상 상담이 필요할 때 새 inquiry_id와 연결한다.</t>
  </si>
  <si>
    <t>FR-006~FR-007, DR-005</t>
  </si>
  <si>
    <t>T-005, T-016, T-020</t>
  </si>
  <si>
    <t>문의 없는 사전 문진 생성·임시 저장·제출과 이후 inquiry_id 연결이 정상 동작함</t>
  </si>
  <si>
    <t>T-022</t>
  </si>
  <si>
    <t>문의 관리</t>
  </si>
  <si>
    <t>START_INQUIRY로 Inquiry를 DRAFT 상태로 생성하고 자연어 증상·대표 증상·추가 답변·자가조치 결과를 동일 inquiry_id에 누적한다. SUBMIT_SYMPTOM 시 QUESTIONNAIRE_IN_PROGRESS로 전환한다.</t>
  </si>
  <si>
    <t>FR-008~FR-011, FR-020, DR-001, DR-006</t>
  </si>
  <si>
    <t>신규 문의 생성과 동일 inquiry_id 누적 저장이 동작하고 미지원 제품·필수값 누락·차단 모델은 PRODUCT_VALIDATION_FAILED로 AI·RAG 실행이 차단됨</t>
  </si>
  <si>
    <t>T-023</t>
  </si>
  <si>
    <t>백엔드 State Machine 이벤트 API를 구현한다. allowed_actions 반환, 역할·담당자 권한, state_version 동시 수정 방지, idempotency_key 중복 요청 방지, correlation_id 추적과 COMPLETION_PENDING·REOPENED·FINALIZE_INQUIRY 전이를 포함한다.</t>
  </si>
  <si>
    <t>FR-021, FR-025~FR-026, FR-032~FR-034, NFR-015, DR-012, DR-014~DR-015</t>
  </si>
  <si>
    <t>T-002, T-005, T-016, T-022</t>
  </si>
  <si>
    <t>허용된 상태·역할·담당자·state_version에서만 전이가 수행되고 중복 요청·동시 수정이 차단되며 담당 주체·고객 행동·방문 일정·완료 주체 이력이 저장됨</t>
  </si>
  <si>
    <t>T-024</t>
  </si>
  <si>
    <t>추적성 및 로그</t>
  </si>
  <si>
    <t>AI 호출, 검색 근거, 생성 결과, 모델 정보, 주요 사용자 행위와 오류 로그 저장을 구현한다.</t>
  </si>
  <si>
    <t>NFR-013, NFR-017, DR-009</t>
  </si>
  <si>
    <t>T-016, T-023</t>
  </si>
  <si>
    <t>문의별 AI·RAG·상태 변경 이력을 재현할 수 있음</t>
  </si>
  <si>
    <t>T-025</t>
  </si>
  <si>
    <t>AI·RAG 구현</t>
  </si>
  <si>
    <t>다중 에이전트 개발</t>
  </si>
  <si>
    <t>단일 RAG 기준선과 선택형 책임 분리 구조를 동일 입력·출력 스키마로 비교한 뒤, 문의 상태와 역할에 따라 필요한 구조화·검색·안내·인계 모듈만 호출하는 오케스트레이터를 구현한다.</t>
  </si>
  <si>
    <t>FR-010~FR-019, FR-022, FR-027, NFR-005~NFR-006</t>
  </si>
  <si>
    <t>김은진 · 최지용</t>
  </si>
  <si>
    <t>T-006, T-015, T-023</t>
  </si>
  <si>
    <t>기준선과 제안안 비교 결과가 기록되고 최종 실행 구조에서 일반·위험·상담·방문 흐름이 조건별로 분기됨</t>
  </si>
  <si>
    <t>기획서 5장 · 화면설계서 AI/RAG·EvidenceCardDTO</t>
  </si>
  <si>
    <t>T-026</t>
  </si>
  <si>
    <t>누락 정보 추가 질문, 답변 중복 방지와 표준 증상 구조화를 수행하는 증상 확인·분류 Agent를 구현한다.</t>
  </si>
  <si>
    <t>FR-010~FR-012, NFR-014, DR-007, DR-015</t>
  </si>
  <si>
    <t>T-006, T-025</t>
  </si>
  <si>
    <t>필수 항목 추출과 미확인 항목 질문이 JSON으로 반환됨</t>
  </si>
  <si>
    <t>T-027</t>
  </si>
  <si>
    <t>안전 규칙과 구조화 증상을 결합해 위험도·처리 우선순위와 현재 사용 안내 상태, 제한되는 출수·기능 범위를 분류하는 로직을 구현한다.</t>
  </si>
  <si>
    <t>FR-013~FR-014, FR-019, FR-038, NFR-001~NFR-002, NFR-004, DR-007, DR-015</t>
  </si>
  <si>
    <t>T-015, T-026</t>
  </si>
  <si>
    <t>일반·주의·위험 분류와 4개 사용 안내 상태가 규칙에 따라 일관되게 반환됨</t>
  </si>
  <si>
    <t>T-028A</t>
  </si>
  <si>
    <t>AI·RAG 개발</t>
  </si>
  <si>
    <t>제품 모델·증상·구독·케어 이력을 조회하고 모델·세대 메타데이터 필터를 적용하여 공식 문서 근거와 고객별 관리 이력을 반환하는 지식·이력 조회 모듈을 구현한다.</t>
  </si>
  <si>
    <t>FR-015~FR-016, DR-004, DR-008~DR-009</t>
  </si>
  <si>
    <t>T-011, T-019, T-026</t>
  </si>
  <si>
    <t>WPUJAC104DWH와 WPU-JAC104D D세대에 일치하는 검증 근거·페이지·관리 이력이 하나의 구조화 출력으로 반환되고 미검증 FAQ 단독 사용이 차단됨</t>
  </si>
  <si>
    <t>T-028B</t>
  </si>
  <si>
    <t>공식 근거 응답 조립</t>
  </si>
  <si>
    <t>RAG 검색 결과, jac104_evidence_registry.jsonl, 문서 메타데이터와 model_document_lineage.csv를 결합하여 EvidenceCardDTO를 생성하는 백엔드 조립 로직을 구현한다. source_path·ManualPage.text·retrieval_text는 화면 응답에서 제외한다.</t>
  </si>
  <si>
    <t>FR-015~FR-019, NFR-001~NFR-002, DR-008~DR-009</t>
  </si>
  <si>
    <t>이동윤 · 김은진</t>
  </si>
  <si>
    <t>T-005, T-011, T-028A</t>
  </si>
  <si>
    <t>검증된 모델·세대·페이지·사용 정책을 만족한 근거만 고객·상담사·기사 화면에 전달되고, 고객 화면의 chunk_id와 내부 경로·원문 전체가 숨겨짐</t>
  </si>
  <si>
    <t>T-029</t>
  </si>
  <si>
    <t>증상·이력·근거를 종합하여 점검 후보와 자가조치에 앞서 현재 사용 안내 상태, 제한 범위, 판단 근거와 고객의 다음 행동을 생성하는 대응 분석 Agent를 구현한다.</t>
  </si>
  <si>
    <t>FR-017~FR-019, FR-038, NFR-001~NFR-003</t>
  </si>
  <si>
    <t>T-027, T-028A, T-028B</t>
  </si>
  <si>
    <t>확정 진단 없이 근거가 있는 사용 안내 상태와 안전한 다음 행동이 생성됨</t>
  </si>
  <si>
    <t>T-030A</t>
  </si>
  <si>
    <t>역할별 결과 생성</t>
  </si>
  <si>
    <t>제품·문진·고객 원문·추가 답변·조치 결과·공식 근거·상태 이력을 이용하여 고정 스키마의 상담용 AI 요약 초안을 생성하고 상담사 수정·확정본을 별도로 저장한다.</t>
  </si>
  <si>
    <t>FR-022~FR-024, NFR-001~NFR-006, DR-010</t>
  </si>
  <si>
    <t>T-023, T-029</t>
  </si>
  <si>
    <t>상담 요약 필수 필드가 충족되고 AI 초안과 상담사 수정·확정본이 구분되어 저장됨</t>
  </si>
  <si>
    <t>T-030B</t>
  </si>
  <si>
    <t>상담사 확정 요약, 제품·관리 이력, 위험도와 공식 근거를 이용하여 방문기사용 사전 점검 리포트 초안을 생성하고 기사 수정·확정본을 별도로 저장한다.</t>
  </si>
  <si>
    <t>FR-027~FR-029, NFR-001~NFR-006, DR-011</t>
  </si>
  <si>
    <t>T-019, T-030A</t>
  </si>
  <si>
    <t>상담사 확정 내용과 관리 이력이 기사 리포트에 반영되고 AI 초안과 기사 확정본이 구분됨</t>
  </si>
  <si>
    <t>T-030C</t>
  </si>
  <si>
    <t>역할별 결과 검증</t>
  </si>
  <si>
    <t>고객 안내·상담 요약·기사 리포트의 핵심 사실, 위험도, 현재 사용 안내, 공식 근거와 금지 행동이 서로 모순되지 않는지 검증한다.</t>
  </si>
  <si>
    <t>NFR-001~NFR-006, DR-009~DR-011</t>
  </si>
  <si>
    <t>T-015, T-030A, T-030B</t>
  </si>
  <si>
    <t>역할별 결과는 표현만 다르고 제품·증상·위험도·근거·다음 행동의 핵심 사실이 일치함</t>
  </si>
  <si>
    <t>T-031</t>
  </si>
  <si>
    <t>AI 안전성</t>
  </si>
  <si>
    <t>공식 근거 미검색, 모델·세대 불일치 또는 검증 실패 시 임의 사용 가능 판정과 자가조치를 차단하고 usage_guidance_status를 판단 보류·상담 필요로 설정한다.</t>
  </si>
  <si>
    <t>FR-038, NFR-002, NFR-009</t>
  </si>
  <si>
    <t>T-015, T-028A</t>
  </si>
  <si>
    <t>근거 부재 시 사용 가능 판정이나 임의 조치 없이 판단 보류와 상담 안내가 출력됨</t>
  </si>
  <si>
    <t>T-032</t>
  </si>
  <si>
    <t>AI 안정성</t>
  </si>
  <si>
    <t>AI·검색 타임아웃, 재시도, 오류 기록과 사용자 재시도·상담 전환 안내를 구현한다.</t>
  </si>
  <si>
    <t>NFR-007, NFR-009</t>
  </si>
  <si>
    <t>T-016, T-025</t>
  </si>
  <si>
    <t>실패 시 무응답 없이 오류 안내와 대체 흐름이 동작함</t>
  </si>
  <si>
    <t>T-033</t>
  </si>
  <si>
    <t>역할별 화면</t>
  </si>
  <si>
    <t>고객 화면 개발</t>
  </si>
  <si>
    <t>구독 제품 정보, 관리 유형, 최근 케어 이력과 다음 케어 일정을 조회하고, 관리 예정일 도래 시 웹 알림을 표시하는 고객 화면을 구현한다.</t>
  </si>
  <si>
    <t>FR-002~FR-005, FR-016</t>
  </si>
  <si>
    <t>양정현</t>
  </si>
  <si>
    <t>최지용 · 윤승혁</t>
  </si>
  <si>
    <t>T-018, T-020, T-045</t>
  </si>
  <si>
    <t>고객이 문의 대상 제품과 케어 상태를 한 화면에서 확인함</t>
  </si>
  <si>
    <t>화면설계서 고객·상담사·방문기사 화면</t>
  </si>
  <si>
    <t>T-034</t>
  </si>
  <si>
    <t>사전 문진 응답과 자연어 증상·대표 증상 입력 화면을 구현한다.</t>
  </si>
  <si>
    <t>FR-006~FR-009</t>
  </si>
  <si>
    <t>T-021, T-022, T-045</t>
  </si>
  <si>
    <t>문진 제출과 신규 문의 접수가 정상 저장됨</t>
  </si>
  <si>
    <t>T-035</t>
  </si>
  <si>
    <t>AI 추가 질문, 고객 답변 입력, 구조화된 확인 정보와 위험도 안내 화면을 구현한다.</t>
  </si>
  <si>
    <t>FR-010~FR-014</t>
  </si>
  <si>
    <t>T-026, T-034</t>
  </si>
  <si>
    <t>이미 답한 항목은 반복되지 않고 다음 질문이 표시됨</t>
  </si>
  <si>
    <t>T-036</t>
  </si>
  <si>
    <t>고객 화면 상단에 현재 사용 안내 상태, 제한되는 출수·기능, 판단 근거와 다음 행동을 우선 표시하고, 그 아래에 점검 후보·안전한 자가조치·수행 결과 입력과 상담 요청 기능을 제공한다.</t>
  </si>
  <si>
    <t>FR-017~FR-021, FR-038, NFR-001~NFR-004</t>
  </si>
  <si>
    <t>T-027, T-029, T-035</t>
  </si>
  <si>
    <t>고객이 자가조치 전에 현재 사용 가능 범위와 필요한 다음 행동을 명확히 확인할 수 있음</t>
  </si>
  <si>
    <t>T-037</t>
  </si>
  <si>
    <t>고객 문의 상세에서 현재 상태, 담당 주체, 다음 처리 단계, 고객 행동, 방문 희망·확정일과 일정 상태를 표시한다. 자가조치 단독 해결은 즉시 RESOLVED, 상담·방문 경로는 COMPLETION_PENDING에서 고객 피드백 후 담당 상담사·기사가 FINALIZE_INQUIRY하도록 연결한다.</t>
  </si>
  <si>
    <t>FR-026, FR-032~FR-034, NFR-015</t>
  </si>
  <si>
    <t>고객이 현재 처리 주체·일정·다음 행동을 확인하고, 자가 해결과 상담·방문 후속 해결의 서로 다른 완료 정책이 동작함</t>
  </si>
  <si>
    <t>T-038</t>
  </si>
  <si>
    <t>상담사 화면 개발</t>
  </si>
  <si>
    <t>상담 대기 문의 목록, 위험도·우선순위 정렬과 검색 화면을 구현한다.</t>
  </si>
  <si>
    <t>FR-023, NFR-014</t>
  </si>
  <si>
    <t>한예나</t>
  </si>
  <si>
    <t>T-023, T-045</t>
  </si>
  <si>
    <t>우선 상담 건이 상단 노출되고 문의 선택이 가능함</t>
  </si>
  <si>
    <t>T-039</t>
  </si>
  <si>
    <t>제품·구독·문진·증상·조치·원문 답변·공식 근거·상태 이력을 통합 조회하는 상세 화면을 구현한다.</t>
  </si>
  <si>
    <t>FR-022~FR-023, NFR-001, NFR-014</t>
  </si>
  <si>
    <t>T-030A, T-038</t>
  </si>
  <si>
    <t>고객이 제공한 정보와 상담 요약을 한 화면에서 확인함</t>
  </si>
  <si>
    <t>T-040</t>
  </si>
  <si>
    <t>추가 확인사항·안내 내용·상담 결과를 등록하고, CONSULTATION_COMPLETED 시 COMPLETION_PENDING, 방문 필요 시 VISIT_REVIEW_PENDING으로 전환한다. 상담 요약 AI 초안을 수정·확정한다.</t>
  </si>
  <si>
    <t>FR-024~FR-025, DR-001, DR-010</t>
  </si>
  <si>
    <t>T-023, T-039</t>
  </si>
  <si>
    <t>상담 결과 저장과 방문 예정 상태 전환이 가능함</t>
  </si>
  <si>
    <t>T-041</t>
  </si>
  <si>
    <t>고객 방문 희망일, 가상 담당 기사, 방문 일정 상태와 가상 방문 확정일을 등록·변경하는 기능을 구현한다.</t>
  </si>
  <si>
    <t>FR-026, CR-005</t>
  </si>
  <si>
    <t>T-023, T-040</t>
  </si>
  <si>
    <t>방문 희망일과 확정일이 구분되고 기사 배정 중, 일정 조율 중, 방문 확정 상태가 문의에 저장됨</t>
  </si>
  <si>
    <t>T-042</t>
  </si>
  <si>
    <t>방문기사 화면 개발</t>
  </si>
  <si>
    <t>배정된 가상 방문 목록과 방문기사용 사전 점검 리포트·공식 근거 조회 화면을 구현한다.</t>
  </si>
  <si>
    <t>FR-027~FR-028, NFR-014</t>
  </si>
  <si>
    <t>최지용 · 이동윤</t>
  </si>
  <si>
    <t>T-030B, T-041, T-045</t>
  </si>
  <si>
    <t>기사가 고객 답변·상담 내용·우선 점검 항목을 확인함</t>
  </si>
  <si>
    <t>T-043</t>
  </si>
  <si>
    <t>점검 결과·확인 원인·수행 조치·교체 항목·처리 상태를 등록하고 필수값을 검증한다. VISIT_COMPLETED 후 Inquiry를 COMPLETION_PENDING으로 전환하며 기사가 확정 리포트를 저장한다.</t>
  </si>
  <si>
    <t>FR-029, DR-001, DR-011, DR-014~DR-015</t>
  </si>
  <si>
    <t>T-023, T-042</t>
  </si>
  <si>
    <t>필수값 누락 시 완료가 차단되고 결과가 저장됨</t>
  </si>
  <si>
    <t>T-044</t>
  </si>
  <si>
    <t>사후 관리</t>
  </si>
  <si>
    <t>방문 결과를 케어 이력에 반영하고 다음 케어 예정일을 갱신하는 연계 처리를 구현한다.</t>
  </si>
  <si>
    <t>FR-030~FR-031, NFR-010, DR-004, DR-011</t>
  </si>
  <si>
    <t>양정현 · 김은진</t>
  </si>
  <si>
    <t>T-019, T-043</t>
  </si>
  <si>
    <t>중복 저장 없이 케어 이력과 다음 일정이 갱신됨</t>
  </si>
  <si>
    <t>T-045</t>
  </si>
  <si>
    <t>프론트엔드 공통</t>
  </si>
  <si>
    <t>공통 레이아웃·상태 배지·근거 표시·오류 안내 컴포넌트와 역할 기반 라우팅을 구현한다.</t>
  </si>
  <si>
    <t>FR-001, NFR-001, NFR-009, NFR-011, NFR-015</t>
  </si>
  <si>
    <t>양정현 · 윤승혁</t>
  </si>
  <si>
    <t>T-003, T-004</t>
  </si>
  <si>
    <t>역할별 화면 이동과 공통 UI 표현이 일관되게 동작함</t>
  </si>
  <si>
    <t>T-046</t>
  </si>
  <si>
    <t>통합·검증·배포</t>
  </si>
  <si>
    <t>통합 개발</t>
  </si>
  <si>
    <t>고객→상담사→방문기사 전 과정의 프론트엔드·백엔드·Agent·DB API를 연결한다.</t>
  </si>
  <si>
    <t>P0 기능 요구사항 전체</t>
  </si>
  <si>
    <t>T-025, T-033, T-038, T-042, T-044</t>
  </si>
  <si>
    <t>대표 시나리오가 화면 간 데이터 손실 없이 끝까지 실행됨</t>
  </si>
  <si>
    <t>기획서 5-5 · 요구사항정의서 · 화면설계서 E2E</t>
  </si>
  <si>
    <t>T-047</t>
  </si>
  <si>
    <t>테스트 및 검증</t>
  </si>
  <si>
    <t>사용자·제품·문진·문의·상담·방문 API와 State Machine의 정상·예외·권한·allowed_actions·state_version·idempotency_key·correlation_id 테스트를 작성한다.</t>
  </si>
  <si>
    <t>FR-001~FR-034, FR-038, DR-001~DR-012, DR-014~DR-015</t>
  </si>
  <si>
    <t>T-016~T-024, T-044</t>
  </si>
  <si>
    <t>사용 안내 상태 저장·조회, 방문 희망일·확정일 구분, 후속 해결 입력과 문의 재개를 포함한 핵심 API 정상·예외·권한 테스트가 통과함</t>
  </si>
  <si>
    <t>T-048</t>
  </si>
  <si>
    <t>API·AI·RAG·안전성·권한·성능·상태 전환·EvidenceCardDTO 비노출·문서 링크 Fallback 결과를 취합하여 서비스 테스트 계획 및 결과 보고서를 작성한다.</t>
  </si>
  <si>
    <t>FR-001~FR-034, FR-038, NFR-001~NFR-007, NFR-009~NFR-015, NFR-017, DR-001~DR-012, DR-014~DR-015</t>
  </si>
  <si>
    <t>전 팀원</t>
  </si>
  <si>
    <t>T-047, T-049~T-051</t>
  </si>
  <si>
    <t>테스트 범위·환경·결과, 사용 안내 상태·근거 일치성·상태 가시성·문의 재개 결과와 미해결 이슈가 제출 가능한 형태로 정리됨</t>
  </si>
  <si>
    <t>T-049</t>
  </si>
  <si>
    <t>누수·전기·화상·온수 경고·근거 부재·확정 진단, JAC104 D/S 혼용, IAC425 MVP 노출, IAC506 사용과 미검증 FAQ 단독 답변을 차단하는 안전성 테스트를 수행한다.</t>
  </si>
  <si>
    <t>FR-038, NFR-001~NFR-004, CR-010~CR-011</t>
  </si>
  <si>
    <t>T-015, T-027, T-031</t>
  </si>
  <si>
    <t>위험 시나리오에서 잘못된 사용 가능 판정, 일부 사용 중지 범위 오류와 판단 보류 누락이 없음</t>
  </si>
  <si>
    <t>T-050</t>
  </si>
  <si>
    <t>역할별 화면의 allowed_actions와 실제 버튼 일치, 반복 질문 방지, 담당자 권한, 방문 일정, 자가 해결/COMPLETION_PENDING/문의 재개 정책과 AI 초안·담당자 확정본 표시를 검증한다.</t>
  </si>
  <si>
    <t>FR-026, FR-032~FR-033, NFR-011~NFR-015, DR-014</t>
  </si>
  <si>
    <t>양정현 · 한예나 · 최지용 · 이동윤</t>
  </si>
  <si>
    <t>T-033~T-043</t>
  </si>
  <si>
    <t>담당 주체·고객 행동·방문 일정·완료 대기·문의 재개 정보가 누락 없이 표시되고 상태 전환이 정상 동작함</t>
  </si>
  <si>
    <t>T-051</t>
  </si>
  <si>
    <t>AI p95 10초, 일반 API 안정성, 동일 idempotency_key 재전송, state_version 충돌, AI·검색 타임아웃·재시도·상담 Fallback과 correlation_id 로그 연결을 검증한다.</t>
  </si>
  <si>
    <t>NFR-007, NFR-009~NFR-010</t>
  </si>
  <si>
    <t>T-024, T-032, T-046</t>
  </si>
  <si>
    <t>성능 측정 결과와 장애·중복 요청 테스트가 기록됨</t>
  </si>
  <si>
    <t>T-052</t>
  </si>
  <si>
    <t>시연 준비</t>
  </si>
  <si>
    <t>대표 시연을 WPUJAC104DWH / SYN-JAC104-002 / DEMO-INQ-002 / 출수량 저하 / 매뉴얼 REV.00 38쪽으로 고정하고 문진→구조화→위험 판정→공식 검색→자가확인→상담→방문→후속 확인 Seed·초기화 스크립트·대본을 구성한다.</t>
  </si>
  <si>
    <t>P0 핵심 시연 시나리오, FR-006~FR-032, FR-038</t>
  </si>
  <si>
    <t>김은진 · 전 팀원</t>
  </si>
  <si>
    <t>T-014, T-046</t>
  </si>
  <si>
    <t>8/6 중간 발표와 9/3 최종 발표에서 현재 사용 안내부터 고객→상담사→방문기사→고객 후속 확인 흐름이 동일하게 재현됨</t>
  </si>
  <si>
    <t>T-053</t>
  </si>
  <si>
    <t>배포 및 문서화</t>
  </si>
  <si>
    <t>Docker 실행 환경, 환경변수·비밀키 분리, DB·Vector DB 초기화, 확정 배포 환경 배포, 모바일·웹·백엔드·AI 연동, 시연 초기화 스크립트, Git 원본 PDF 제외와 Smoke Test를 완료하고 README·실행 문서·시연영상을 정리한다.</t>
  </si>
  <si>
    <t>윤승혁 · 전 개발 담당</t>
  </si>
  <si>
    <t>배포 주소에서 대표 시연이 재현되고 소스·환경설정 예시·초기화 절차·시연영상·Smoke Test 결과가 제출 가능함</t>
  </si>
  <si>
    <t>T-054</t>
  </si>
  <si>
    <t>최종 통합 검수</t>
  </si>
  <si>
    <t>P0 요구사항 추적표와 대표 E2E를 기준으로 모바일·웹·백엔드·AI·RAG·데이터·배포를 통합 검수하고 차단 결함 수정, 제출물 검수와 최종 리허설을 9월 2일까지 완료한다.</t>
  </si>
  <si>
    <t>P0 요구사항 전체</t>
  </si>
  <si>
    <t>T-047~T-053</t>
  </si>
  <si>
    <t>9월 2일까지 차단 결함 수정, 제출물 검수와 최종 리허설이 끝나고 9월 3일 발표 환경이 준비됨</t>
  </si>
  <si>
    <t>T-055</t>
  </si>
  <si>
    <t>사후 상태 확인</t>
  </si>
  <si>
    <t>상담·방문 처리 후 고객에게 처리 결과와 갱신된 현재 사용 안내를 제공하고 해결 여부를 저장한다. 고객 해결 피드백만으로는 COMPLETION_PENDING을 유지하며 담당 상담사·기사가 FINALIZE_INQUIRY한 뒤 RESOLVED로 전환한다.</t>
  </si>
  <si>
    <t>FR-032, FR-033, FR-038, NFR-015</t>
  </si>
  <si>
    <t>고객 피드백, 담당자 최종 완료, 미해결 REOPENED·상담 재요청과 상태 이력이 완료 정책에 맞게 저장됨</t>
  </si>
  <si>
    <t>T-101</t>
  </si>
  <si>
    <t>P1 후속 로드맵</t>
  </si>
  <si>
    <t>P1 운영 관리</t>
  </si>
  <si>
    <t>기간·모델·관리 유형·담당자·위험도·상태별 문의 현황 조회와 필터를 구현한다.</t>
  </si>
  <si>
    <t>FR-035, DR-013</t>
  </si>
  <si>
    <t>양정현 · 최지용</t>
  </si>
  <si>
    <t>운영 조건별 목록·집계 조회가 가능함</t>
  </si>
  <si>
    <t>요구사항정의서 P1 · 화면설계서 ADMIN-01</t>
  </si>
  <si>
    <t>T-102</t>
  </si>
  <si>
    <t>증상 유형·처리 상태·상담 전환·방문 전환 지표 집계 API와 운영 대시보드를 구현한다.</t>
  </si>
  <si>
    <t>FR-036, DR-013</t>
  </si>
  <si>
    <t>저장된 문의 데이터 기반 차트와 집계 수치가 표시됨</t>
  </si>
  <si>
    <t>T-103</t>
  </si>
  <si>
    <t>케어 일정 미산정·문진 미응답·처리 지연·근거 검색 실패 예외 건 조회를 구현한다.</t>
  </si>
  <si>
    <t>FR-037</t>
  </si>
  <si>
    <t>예외 사유와 마지막 처리 단계가 표시됨</t>
  </si>
  <si>
    <t>T-104</t>
  </si>
  <si>
    <t>P1 사용성</t>
  </si>
  <si>
    <t>고객 모바일 앱과 상담사 웹·기사 태블릿 화면의 모바일·데스크톱 반응형 레이아웃을 후속 고도화한다.</t>
  </si>
  <si>
    <t>NFR-016</t>
  </si>
  <si>
    <t>T-045, T-046</t>
  </si>
  <si>
    <t>주요 화면이 모바일과 데스크톱에서 깨짐 없이 사용됨</t>
  </si>
  <si>
    <t>T-105</t>
  </si>
  <si>
    <t>P1 유지보수성</t>
  </si>
  <si>
    <t>증상 분류 규칙·위험 규칙·프롬프트를 코드와 분리하고 버전·변경 이력을 관리한다.</t>
  </si>
  <si>
    <t>NFR-018</t>
  </si>
  <si>
    <t>T-025, T-031</t>
  </si>
  <si>
    <t>설정 파일 변경만으로 규칙·프롬프트 수정이 가능함</t>
  </si>
  <si>
    <t>T-106</t>
  </si>
  <si>
    <t>P1 성능</t>
  </si>
  <si>
    <t>일반 조회·저장 API의 95백분위 3초 목표를 기준으로 쿼리와 캐시를 최적화한다.</t>
  </si>
  <si>
    <t>NFR-008</t>
  </si>
  <si>
    <t>주요 일반 API 성능 측정 결과가 목표 범위에 도달함</t>
  </si>
  <si>
    <t>T-107</t>
  </si>
  <si>
    <t>P1 통합 검수</t>
  </si>
  <si>
    <t>P1 기능을 P0 흐름과 통합하고 운영·반응형·성능 회귀 테스트를 수행한다.</t>
  </si>
  <si>
    <t>FR-035~FR-037, NFR-008, NFR-016, NFR-018</t>
  </si>
  <si>
    <t>T-101~T-106</t>
  </si>
  <si>
    <t>P0 회귀 없이 P1 주요 기능이 정상 동작함</t>
  </si>
  <si>
    <t>WBS 갠트차트 — P0 일정 및 P1 후속 로드맵</t>
  </si>
  <si>
    <t>T-023, T-045</t>
    <phoneticPr fontId="14" type="noConversion"/>
  </si>
  <si>
    <t>T-023, T-037, T-044</t>
    <phoneticPr fontId="14" type="noConversion"/>
  </si>
  <si>
    <t>T-046, T-047, T-051</t>
    <phoneticPr fontId="14" type="noConversion"/>
  </si>
  <si>
    <r>
      <rPr>
        <sz val="9"/>
        <color rgb="FF263238"/>
        <rFont val="맑은 고딕"/>
        <family val="3"/>
        <charset val="129"/>
      </rPr>
      <t>양정현</t>
    </r>
    <r>
      <rPr>
        <sz val="9"/>
        <color rgb="FF263238"/>
        <rFont val="Arial"/>
        <family val="2"/>
      </rPr>
      <t xml:space="preserve"> </t>
    </r>
    <r>
      <rPr>
        <sz val="9"/>
        <color rgb="FF263238"/>
        <rFont val="Carlito"/>
        <family val="2"/>
        <charset val="129"/>
      </rPr>
      <t>·</t>
    </r>
    <r>
      <rPr>
        <sz val="9"/>
        <color rgb="FF263238"/>
        <rFont val="Arial"/>
        <family val="2"/>
      </rPr>
      <t xml:space="preserve"> </t>
    </r>
    <r>
      <rPr>
        <sz val="9"/>
        <color rgb="FF263238"/>
        <rFont val="맑은 고딕"/>
        <family val="3"/>
        <charset val="129"/>
      </rPr>
      <t>한예나</t>
    </r>
    <r>
      <rPr>
        <sz val="9"/>
        <color rgb="FF263238"/>
        <rFont val="Arial"/>
        <family val="2"/>
      </rPr>
      <t xml:space="preserve"> </t>
    </r>
    <r>
      <rPr>
        <sz val="9"/>
        <color rgb="FF263238"/>
        <rFont val="Carlito"/>
        <family val="2"/>
        <charset val="129"/>
      </rPr>
      <t>·</t>
    </r>
    <r>
      <rPr>
        <sz val="9"/>
        <color rgb="FF263238"/>
        <rFont val="Arial"/>
        <family val="2"/>
      </rPr>
      <t xml:space="preserve"> </t>
    </r>
    <r>
      <rPr>
        <sz val="9"/>
        <color rgb="FF263238"/>
        <rFont val="맑은 고딕"/>
        <family val="2"/>
        <charset val="129"/>
      </rPr>
      <t>윤승혁</t>
    </r>
    <r>
      <rPr>
        <sz val="9"/>
        <color rgb="FF263238"/>
        <rFont val="Arial"/>
        <family val="2"/>
      </rPr>
      <t xml:space="preserve"> </t>
    </r>
    <r>
      <rPr>
        <sz val="9"/>
        <color rgb="FF263238"/>
        <rFont val="Carlito"/>
        <family val="2"/>
        <charset val="129"/>
      </rPr>
      <t>·</t>
    </r>
    <r>
      <rPr>
        <sz val="9"/>
        <color rgb="FF263238"/>
        <rFont val="Arial"/>
        <family val="2"/>
      </rPr>
      <t xml:space="preserve"> </t>
    </r>
    <r>
      <rPr>
        <sz val="9"/>
        <color rgb="FF263238"/>
        <rFont val="맑은 고딕"/>
        <family val="3"/>
        <charset val="129"/>
      </rPr>
      <t>이동윤</t>
    </r>
    <r>
      <rPr>
        <sz val="9"/>
        <color rgb="FF263238"/>
        <rFont val="Arial"/>
        <family val="2"/>
      </rPr>
      <t xml:space="preserve"> </t>
    </r>
    <r>
      <rPr>
        <sz val="9"/>
        <color rgb="FF263238"/>
        <rFont val="Carlito"/>
        <family val="2"/>
        <charset val="129"/>
      </rPr>
      <t>·</t>
    </r>
    <r>
      <rPr>
        <sz val="9"/>
        <color rgb="FF263238"/>
        <rFont val="Arial"/>
        <family val="2"/>
      </rPr>
      <t xml:space="preserve"> </t>
    </r>
    <r>
      <rPr>
        <sz val="9"/>
        <color rgb="FF263238"/>
        <rFont val="맑은 고딕"/>
        <family val="3"/>
        <charset val="129"/>
      </rPr>
      <t>김은진</t>
    </r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</si>
</sst>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"/>
    <numFmt numFmtId="178" formatCode="0.0&quot; 인일&quot;"/>
    <numFmt numFmtId="179" formatCode="m/d"/>
  </numFmts>
  <fonts count="20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i/>
      <sz val="10"/>
      <color rgb="FF263238"/>
      <name val="Carlito"/>
    </font>
    <font>
      <b/>
      <sz val="10"/>
      <color rgb="FFFFFFFF"/>
      <name val="Carlito"/>
    </font>
    <font>
      <sz val="9"/>
      <color rgb="FF263238"/>
      <name val="Carlito"/>
    </font>
    <font>
      <b/>
      <sz val="18"/>
      <color rgb="FFFFFFFF"/>
      <name val="Carlito"/>
    </font>
    <font>
      <i/>
      <sz val="11"/>
      <color rgb="FF263238"/>
      <name val="Carlito"/>
    </font>
    <font>
      <b/>
      <sz val="11"/>
      <color rgb="FF1F4E78"/>
      <name val="Carlito"/>
    </font>
    <font>
      <b/>
      <sz val="18"/>
      <color rgb="FF1F4E78"/>
      <name val="Carlito"/>
    </font>
    <font>
      <b/>
      <sz val="8"/>
      <color rgb="FFFFFFFF"/>
      <name val="Carlito"/>
    </font>
    <font>
      <sz val="8"/>
      <color rgb="FF263238"/>
      <name val="Carlito"/>
    </font>
    <font>
      <b/>
      <sz val="8"/>
      <color rgb="FF9C0006"/>
      <name val="Carlito"/>
    </font>
    <font>
      <sz val="11"/>
      <name val="Carlito"/>
    </font>
    <font>
      <sz val="8"/>
      <name val="돋움"/>
      <family val="3"/>
      <charset val="129"/>
    </font>
    <font>
      <sz val="9"/>
      <color rgb="FF263238"/>
      <name val="맑은 고딕"/>
      <family val="2"/>
      <charset val="129"/>
    </font>
    <font>
      <sz val="9"/>
      <color rgb="FF263238"/>
      <name val="맑은 고딕"/>
      <family val="3"/>
      <charset val="129"/>
    </font>
    <font>
      <sz val="9"/>
      <color rgb="FF263238"/>
      <name val="Arial"/>
      <family val="2"/>
    </font>
    <font>
      <sz val="9"/>
      <color rgb="FF263238"/>
      <name val="Carlito"/>
      <family val="2"/>
      <charset val="129"/>
    </font>
    <font>
      <sz val="9"/>
      <color rgb="FF263238"/>
      <name val="Carlito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FFD966"/>
      </patternFill>
    </fill>
    <fill>
      <patternFill patternType="solid">
        <fgColor rgb="FFD9E1F2"/>
      </patternFill>
    </fill>
    <fill>
      <patternFill patternType="solid">
        <fgColor rgb="FFA6A6A6"/>
      </patternFill>
    </fill>
    <fill>
      <patternFill patternType="solid">
        <fgColor rgb="FFF4CCCC"/>
      </patternFill>
    </fill>
    <fill>
      <patternFill patternType="solid">
        <fgColor rgb="FF5B9BD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/>
  </cellStyleXfs>
  <cellXfs count="37">
    <xf numFmtId="0" fontId="0" fillId="0" borderId="0" xfId="0"/>
    <xf numFmtId="0" fontId="1" fillId="2" borderId="0" xfId="1" applyFont="1" applyFill="1" applyAlignment="1">
      <alignment horizontal="center"/>
    </xf>
    <xf numFmtId="0" fontId="0" fillId="4" borderId="0" xfId="1" applyFont="1" applyFill="1"/>
    <xf numFmtId="0" fontId="4" fillId="4" borderId="0" xfId="1" applyFont="1" applyFill="1" applyAlignment="1">
      <alignment horizontal="center" vertical="center" wrapText="1"/>
    </xf>
    <xf numFmtId="0" fontId="5" fillId="0" borderId="0" xfId="1" applyFont="1" applyAlignment="1">
      <alignment vertical="top" wrapText="1"/>
    </xf>
    <xf numFmtId="0" fontId="5" fillId="0" borderId="0" xfId="1" applyFont="1" applyAlignment="1">
      <alignment horizontal="center" vertical="top" wrapText="1"/>
    </xf>
    <xf numFmtId="176" fontId="5" fillId="0" borderId="0" xfId="1" applyNumberFormat="1" applyFont="1" applyAlignment="1">
      <alignment horizontal="center" vertical="top" wrapText="1"/>
    </xf>
    <xf numFmtId="177" fontId="5" fillId="0" borderId="0" xfId="1" applyNumberFormat="1" applyFont="1" applyAlignment="1">
      <alignment horizontal="center" vertical="top" wrapText="1"/>
    </xf>
    <xf numFmtId="9" fontId="5" fillId="0" borderId="0" xfId="1" applyNumberFormat="1" applyFont="1" applyAlignment="1">
      <alignment horizontal="center" vertical="top" wrapText="1"/>
    </xf>
    <xf numFmtId="0" fontId="1" fillId="4" borderId="0" xfId="1" applyFont="1" applyFill="1" applyAlignment="1">
      <alignment horizontal="center"/>
    </xf>
    <xf numFmtId="0" fontId="8" fillId="5" borderId="0" xfId="1" applyFont="1" applyFill="1" applyAlignment="1">
      <alignment wrapText="1"/>
    </xf>
    <xf numFmtId="0" fontId="0" fillId="0" borderId="0" xfId="1" applyFont="1" applyAlignment="1">
      <alignment wrapText="1"/>
    </xf>
    <xf numFmtId="177" fontId="0" fillId="0" borderId="0" xfId="1" applyNumberFormat="1" applyFont="1"/>
    <xf numFmtId="0" fontId="1" fillId="4" borderId="0" xfId="1" applyFont="1" applyFill="1" applyAlignment="1">
      <alignment horizontal="center" vertical="center" wrapText="1"/>
    </xf>
    <xf numFmtId="179" fontId="10" fillId="4" borderId="0" xfId="1" applyNumberFormat="1" applyFont="1" applyFill="1" applyAlignment="1">
      <alignment horizontal="center" vertical="center"/>
    </xf>
    <xf numFmtId="179" fontId="10" fillId="6" borderId="0" xfId="1" applyNumberFormat="1" applyFont="1" applyFill="1" applyAlignment="1">
      <alignment horizontal="center" vertical="center"/>
    </xf>
    <xf numFmtId="0" fontId="11" fillId="0" borderId="0" xfId="1" applyFont="1" applyAlignment="1">
      <alignment vertical="center" wrapText="1"/>
    </xf>
    <xf numFmtId="176" fontId="11" fillId="0" borderId="0" xfId="1" applyNumberFormat="1" applyFont="1" applyAlignment="1">
      <alignment vertical="center" wrapText="1"/>
    </xf>
    <xf numFmtId="0" fontId="0" fillId="7" borderId="0" xfId="1" applyFont="1" applyFill="1"/>
    <xf numFmtId="179" fontId="10" fillId="8" borderId="0" xfId="1" applyNumberFormat="1" applyFont="1" applyFill="1" applyAlignment="1">
      <alignment horizontal="center" vertical="center"/>
    </xf>
    <xf numFmtId="0" fontId="12" fillId="9" borderId="0" xfId="1" applyFont="1" applyFill="1" applyAlignment="1">
      <alignment horizontal="center" wrapText="1"/>
    </xf>
    <xf numFmtId="179" fontId="10" fillId="9" borderId="0" xfId="1" applyNumberFormat="1" applyFont="1" applyFill="1" applyAlignment="1">
      <alignment horizontal="center" vertical="center"/>
    </xf>
    <xf numFmtId="0" fontId="6" fillId="2" borderId="0" xfId="1" applyFont="1" applyFill="1" applyAlignment="1">
      <alignment horizontal="center" vertical="center"/>
    </xf>
    <xf numFmtId="0" fontId="7" fillId="3" borderId="0" xfId="1" applyFont="1" applyFill="1" applyAlignment="1">
      <alignment horizontal="center"/>
    </xf>
    <xf numFmtId="0" fontId="1" fillId="4" borderId="0" xfId="1" applyFont="1" applyFill="1" applyAlignment="1">
      <alignment horizontal="center"/>
    </xf>
    <xf numFmtId="0" fontId="1" fillId="4" borderId="0" xfId="1" applyFont="1" applyFill="1" applyAlignment="1">
      <alignment horizontal="center" vertical="center"/>
    </xf>
    <xf numFmtId="0" fontId="9" fillId="3" borderId="0" xfId="1" applyFont="1" applyFill="1" applyAlignment="1">
      <alignment horizontal="center" vertical="center"/>
    </xf>
    <xf numFmtId="178" fontId="9" fillId="3" borderId="0" xfId="1" applyNumberFormat="1" applyFont="1" applyFill="1" applyAlignment="1">
      <alignment horizontal="center" vertical="center"/>
    </xf>
    <xf numFmtId="9" fontId="9" fillId="3" borderId="0" xfId="1" applyNumberFormat="1" applyFont="1" applyFill="1" applyAlignment="1">
      <alignment horizontal="center" vertical="center"/>
    </xf>
    <xf numFmtId="0" fontId="1" fillId="2" borderId="0" xfId="1" applyFont="1" applyFill="1" applyAlignment="1">
      <alignment horizontal="center"/>
    </xf>
    <xf numFmtId="0" fontId="2" fillId="2" borderId="0" xfId="1" applyFont="1" applyFill="1" applyAlignment="1">
      <alignment horizontal="center" vertical="center"/>
    </xf>
    <xf numFmtId="0" fontId="3" fillId="3" borderId="0" xfId="1" applyFont="1" applyFill="1" applyAlignment="1">
      <alignment horizontal="left" vertical="center"/>
    </xf>
    <xf numFmtId="0" fontId="2" fillId="2" borderId="0" xfId="1" applyFont="1" applyFill="1" applyAlignment="1">
      <alignment horizontal="center"/>
    </xf>
    <xf numFmtId="0" fontId="19" fillId="0" borderId="0" xfId="1" applyFont="1" applyAlignment="1">
      <alignment horizontal="center" vertical="top" wrapText="1"/>
    </xf>
    <xf numFmtId="0" fontId="0" fillId="10" borderId="0" xfId="1" applyFont="1" applyFill="1"/>
    <xf numFmtId="0" fontId="0" fillId="0" borderId="0" xfId="1" applyFont="1" applyFill="1"/>
    <xf numFmtId="0" fontId="0" fillId="10" borderId="0" xfId="0" applyFill="1"/>
  </cellXfs>
  <cellStyles count="2">
    <cellStyle name="Normal" xfId="1" xr:uid="{00000000-0005-0000-0000-000000000000}"/>
    <cellStyle name="표준" xfId="0" builtinId="0"/>
  </cellStyles>
  <dxfs count="6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843C0C"/>
      </font>
      <fill>
        <patternFill patternType="solid">
          <bgColor rgb="FFF4B183"/>
        </patternFill>
      </fill>
    </dxf>
    <dxf>
      <font>
        <b/>
        <color rgb="FF7F6000"/>
      </font>
      <fill>
        <patternFill patternType="solid">
          <bgColor rgb="FFFFE699"/>
        </patternFill>
      </fill>
    </dxf>
    <dxf>
      <font>
        <b/>
        <color rgb="FF375623"/>
      </font>
      <fill>
        <patternFill patternType="solid">
          <bgColor rgb="FFC6E0B4"/>
        </patternFill>
      </fill>
    </dxf>
    <dxf>
      <font>
        <b/>
        <color rgb="FF666666"/>
      </font>
      <fill>
        <patternFill patternType="solid">
          <bgColor rgb="FFF2F2F2"/>
        </patternFill>
      </fill>
    </dxf>
    <dxf>
      <font>
        <b/>
        <color rgb="FF1F4E78"/>
      </font>
      <fill>
        <patternFill patternType="solid">
          <bgColor rgb="FFD9EAF7"/>
        </patternFill>
      </fill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t>역할별 작업·공수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작업 수</c:v>
          </c:tx>
          <c:invertIfNegative val="1"/>
          <c:cat>
            <c:strRef>
              <c:f>요약!$A$16:$A$21</c:f>
              <c:strCache>
                <c:ptCount val="6"/>
                <c:pt idx="0">
                  <c:v>PM·기술 통합</c:v>
                </c:pt>
                <c:pt idx="1">
                  <c:v>모바일 앱 개발</c:v>
                </c:pt>
                <c:pt idx="2">
                  <c:v>웹 프론트엔드</c:v>
                </c:pt>
                <c:pt idx="3">
                  <c:v>백엔드·데이터베이스</c:v>
                </c:pt>
                <c:pt idx="4">
                  <c:v>AI·RAG</c:v>
                </c:pt>
                <c:pt idx="5">
                  <c:v>데이터·QA·DevOps</c:v>
                </c:pt>
              </c:strCache>
            </c:strRef>
          </c:cat>
          <c:val>
            <c:numRef>
              <c:f>요약!$B$16:$B$21</c:f>
              <c:numCache>
                <c:formatCode>0.0</c:formatCode>
                <c:ptCount val="6"/>
                <c:pt idx="0">
                  <c:v>7</c:v>
                </c:pt>
                <c:pt idx="1">
                  <c:v>7</c:v>
                </c:pt>
                <c:pt idx="2">
                  <c:v>9</c:v>
                </c:pt>
                <c:pt idx="3">
                  <c:v>16</c:v>
                </c:pt>
                <c:pt idx="4">
                  <c:v>15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FD-4745-A827-16373034EB49}"/>
            </c:ext>
          </c:extLst>
        </c:ser>
        <c:ser>
          <c:idx val="1"/>
          <c:order val="1"/>
          <c:tx>
            <c:v>공수(인일)</c:v>
          </c:tx>
          <c:invertIfNegative val="1"/>
          <c:cat>
            <c:strRef>
              <c:f>요약!$A$16:$A$21</c:f>
              <c:strCache>
                <c:ptCount val="6"/>
                <c:pt idx="0">
                  <c:v>PM·기술 통합</c:v>
                </c:pt>
                <c:pt idx="1">
                  <c:v>모바일 앱 개발</c:v>
                </c:pt>
                <c:pt idx="2">
                  <c:v>웹 프론트엔드</c:v>
                </c:pt>
                <c:pt idx="3">
                  <c:v>백엔드·데이터베이스</c:v>
                </c:pt>
                <c:pt idx="4">
                  <c:v>AI·RAG</c:v>
                </c:pt>
                <c:pt idx="5">
                  <c:v>데이터·QA·DevOps</c:v>
                </c:pt>
              </c:strCache>
            </c:strRef>
          </c:cat>
          <c:val>
            <c:numRef>
              <c:f>요약!$C$16:$C$21</c:f>
              <c:numCache>
                <c:formatCode>0.0</c:formatCode>
                <c:ptCount val="6"/>
                <c:pt idx="0">
                  <c:v>8.5</c:v>
                </c:pt>
                <c:pt idx="1">
                  <c:v>11</c:v>
                </c:pt>
                <c:pt idx="2">
                  <c:v>9.5</c:v>
                </c:pt>
                <c:pt idx="3">
                  <c:v>21</c:v>
                </c:pt>
                <c:pt idx="4">
                  <c:v>21</c:v>
                </c:pt>
                <c:pt idx="5">
                  <c:v>17.5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FD-4745-A827-16373034E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t>상태별 작업 현황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작업 수</c:v>
          </c:tx>
          <c:invertIfNegative val="1"/>
          <c:cat>
            <c:strRef>
              <c:f>요약!$E$16:$E$20</c:f>
              <c:strCache>
                <c:ptCount val="5"/>
                <c:pt idx="0">
                  <c:v>미착수</c:v>
                </c:pt>
                <c:pt idx="1">
                  <c:v>진행 중</c:v>
                </c:pt>
                <c:pt idx="2">
                  <c:v>완료</c:v>
                </c:pt>
                <c:pt idx="3">
                  <c:v>보류</c:v>
                </c:pt>
                <c:pt idx="4">
                  <c:v>차단</c:v>
                </c:pt>
              </c:strCache>
            </c:strRef>
          </c:cat>
          <c:val>
            <c:numRef>
              <c:f>요약!$F$16:$F$20</c:f>
              <c:numCache>
                <c:formatCode>0.0</c:formatCode>
                <c:ptCount val="5"/>
                <c:pt idx="0">
                  <c:v>49</c:v>
                </c:pt>
                <c:pt idx="1">
                  <c:v>8</c:v>
                </c:pt>
                <c:pt idx="2">
                  <c:v>8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1E-407F-90B2-74B2C9BB377C}"/>
            </c:ext>
          </c:extLst>
        </c:ser>
        <c:ser>
          <c:idx val="1"/>
          <c:order val="1"/>
          <c:tx>
            <c:v>공수(인일)</c:v>
          </c:tx>
          <c:invertIfNegative val="1"/>
          <c:cat>
            <c:strRef>
              <c:f>요약!$E$16:$E$20</c:f>
              <c:strCache>
                <c:ptCount val="5"/>
                <c:pt idx="0">
                  <c:v>미착수</c:v>
                </c:pt>
                <c:pt idx="1">
                  <c:v>진행 중</c:v>
                </c:pt>
                <c:pt idx="2">
                  <c:v>완료</c:v>
                </c:pt>
                <c:pt idx="3">
                  <c:v>보류</c:v>
                </c:pt>
                <c:pt idx="4">
                  <c:v>차단</c:v>
                </c:pt>
              </c:strCache>
            </c:strRef>
          </c:cat>
          <c:val>
            <c:numRef>
              <c:f>요약!$G$16:$G$20</c:f>
              <c:numCache>
                <c:formatCode>0.0</c:formatCode>
                <c:ptCount val="5"/>
                <c:pt idx="0">
                  <c:v>66</c:v>
                </c:pt>
                <c:pt idx="1">
                  <c:v>11</c:v>
                </c:pt>
                <c:pt idx="2">
                  <c:v>11.5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1E-407F-90B2-74B2C9BB3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13</xdr:row>
      <xdr:rowOff>0</xdr:rowOff>
    </xdr:from>
    <xdr:to>
      <xdr:col>14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visedWBSTasks" displayName="RevisedWBSTasks" ref="A4:R69">
  <tableColumns count="18">
    <tableColumn id="1" xr3:uid="{00000000-0010-0000-0000-000001000000}" name="Task ID"/>
    <tableColumn id="2" xr3:uid="{00000000-0010-0000-0000-000002000000}" name="우선순위"/>
    <tableColumn id="3" xr3:uid="{00000000-0010-0000-0000-000003000000}" name="단계"/>
    <tableColumn id="4" xr3:uid="{00000000-0010-0000-0000-000004000000}" name="주요 업무"/>
    <tableColumn id="5" xr3:uid="{00000000-0010-0000-0000-000005000000}" name="세부 업무"/>
    <tableColumn id="6" xr3:uid="{00000000-0010-0000-0000-000006000000}" name="연계 요구사항"/>
    <tableColumn id="7" xr3:uid="{00000000-0010-0000-0000-000007000000}" name="담당 역할"/>
    <tableColumn id="8" xr3:uid="{00000000-0010-0000-0000-000008000000}" name="담당자"/>
    <tableColumn id="9" xr3:uid="{00000000-0010-0000-0000-000009000000}" name="협업·검수자"/>
    <tableColumn id="10" xr3:uid="{00000000-0010-0000-0000-00000A000000}" name="선행 Task"/>
    <tableColumn id="11" xr3:uid="{00000000-0010-0000-0000-00000B000000}" name="시작일"/>
    <tableColumn id="12" xr3:uid="{00000000-0010-0000-0000-00000C000000}" name="종료일"/>
    <tableColumn id="13" xr3:uid="{00000000-0010-0000-0000-00000D000000}" name="공수(인일)"/>
    <tableColumn id="14" xr3:uid="{00000000-0010-0000-0000-00000E000000}" name="상태"/>
    <tableColumn id="15" xr3:uid="{00000000-0010-0000-0000-00000F000000}" name="진행률"/>
    <tableColumn id="16" xr3:uid="{00000000-0010-0000-0000-000010000000}" name="차단 이슈"/>
    <tableColumn id="17" xr3:uid="{00000000-0010-0000-0000-000011000000}" name="완료 기준"/>
    <tableColumn id="18" xr3:uid="{00000000-0010-0000-0000-000012000000}" name="근거 문서·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workbookViewId="0"/>
  </sheetViews>
  <sheetFormatPr defaultRowHeight="14"/>
  <cols>
    <col min="1" max="1" width="24" customWidth="1"/>
    <col min="2" max="2" width="66" customWidth="1"/>
    <col min="3" max="3" width="16" customWidth="1"/>
    <col min="4" max="4" width="4" customWidth="1"/>
    <col min="5" max="5" width="16" customWidth="1"/>
    <col min="6" max="13" width="14" customWidth="1"/>
    <col min="14" max="14" width="4" customWidth="1"/>
  </cols>
  <sheetData>
    <row r="1" spans="1:14" ht="22.65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4.5">
      <c r="A2" s="23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4" spans="1:14">
      <c r="A4" s="24" t="s">
        <v>2</v>
      </c>
      <c r="B4" s="24"/>
      <c r="C4" s="24"/>
      <c r="D4" s="24"/>
      <c r="F4" s="25" t="s">
        <v>3</v>
      </c>
      <c r="G4" s="25"/>
      <c r="H4" s="25" t="s">
        <v>4</v>
      </c>
      <c r="I4" s="25"/>
      <c r="J4" s="25" t="s">
        <v>5</v>
      </c>
      <c r="K4" s="25"/>
      <c r="L4" s="25" t="s">
        <v>6</v>
      </c>
      <c r="M4" s="25"/>
    </row>
    <row r="5" spans="1:14" ht="18.649999999999999" customHeight="1">
      <c r="A5" s="10" t="s">
        <v>7</v>
      </c>
      <c r="B5" s="11" t="s">
        <v>8</v>
      </c>
      <c r="F5" s="26">
        <f>COUNTA('WBS 작업목록'!$A$5:$A$69)</f>
        <v>65</v>
      </c>
      <c r="G5" s="26"/>
      <c r="H5" s="26">
        <f>COUNTIF('WBS 작업목록'!$B$5:$B$69,"P0")</f>
        <v>58</v>
      </c>
      <c r="I5" s="26"/>
      <c r="J5" s="27">
        <f>SUMIF('WBS 작업목록'!$B$5:$B$69,"P0",'WBS 작업목록'!$M$5:$M$69)</f>
        <v>85</v>
      </c>
      <c r="K5" s="27"/>
      <c r="L5" s="26">
        <f>COUNTIF('WBS 작업목록'!$N$5:$N$69,"완료")</f>
        <v>8</v>
      </c>
      <c r="M5" s="26"/>
    </row>
    <row r="6" spans="1:14" ht="18.649999999999999" customHeight="1">
      <c r="A6" s="10" t="s">
        <v>9</v>
      </c>
      <c r="B6" s="11" t="s">
        <v>10</v>
      </c>
      <c r="F6" s="26"/>
      <c r="G6" s="26"/>
      <c r="H6" s="26"/>
      <c r="I6" s="26"/>
      <c r="J6" s="27"/>
      <c r="K6" s="27"/>
      <c r="L6" s="26"/>
      <c r="M6" s="26"/>
    </row>
    <row r="7" spans="1:14" ht="18.649999999999999" customHeight="1">
      <c r="A7" s="10" t="s">
        <v>11</v>
      </c>
      <c r="B7" s="11" t="s">
        <v>12</v>
      </c>
    </row>
    <row r="8" spans="1:14" ht="18.649999999999999" customHeight="1">
      <c r="A8" s="10" t="s">
        <v>13</v>
      </c>
      <c r="B8" s="11" t="s">
        <v>14</v>
      </c>
      <c r="F8" s="25" t="s">
        <v>15</v>
      </c>
      <c r="G8" s="25"/>
      <c r="H8" s="25" t="s">
        <v>16</v>
      </c>
      <c r="I8" s="25"/>
      <c r="J8" s="25" t="s">
        <v>17</v>
      </c>
      <c r="K8" s="25"/>
      <c r="L8" s="25" t="s">
        <v>18</v>
      </c>
      <c r="M8" s="25"/>
    </row>
    <row r="9" spans="1:14" ht="18.649999999999999" customHeight="1">
      <c r="A9" s="10" t="s">
        <v>19</v>
      </c>
      <c r="B9" s="11" t="s">
        <v>20</v>
      </c>
      <c r="F9" s="26">
        <f>COUNTIF('WBS 작업목록'!$N$5:$N$69,"진행 중")</f>
        <v>8</v>
      </c>
      <c r="G9" s="26"/>
      <c r="H9" s="27">
        <f>SUM('WBS 작업목록'!$M$5:$M$69)</f>
        <v>88.5</v>
      </c>
      <c r="I9" s="27"/>
      <c r="J9" s="26">
        <f>COUNTIF('WBS 작업목록'!$B$5:$B$69,"P1")</f>
        <v>7</v>
      </c>
      <c r="K9" s="26"/>
      <c r="L9" s="28">
        <f>AVERAGE('WBS 작업목록'!$O$5:$O$69)</f>
        <v>0.18461538461538463</v>
      </c>
      <c r="M9" s="28"/>
    </row>
    <row r="10" spans="1:14" ht="18.649999999999999" customHeight="1">
      <c r="A10" s="10" t="s">
        <v>21</v>
      </c>
      <c r="B10" s="11" t="s">
        <v>22</v>
      </c>
      <c r="F10" s="26"/>
      <c r="G10" s="26"/>
      <c r="H10" s="27"/>
      <c r="I10" s="27"/>
      <c r="J10" s="26"/>
      <c r="K10" s="26"/>
      <c r="L10" s="28"/>
      <c r="M10" s="28"/>
    </row>
    <row r="11" spans="1:14" ht="18.649999999999999" customHeight="1">
      <c r="A11" s="10" t="s">
        <v>23</v>
      </c>
      <c r="B11" s="11" t="s">
        <v>24</v>
      </c>
    </row>
    <row r="12" spans="1:14" ht="18.649999999999999" customHeight="1">
      <c r="A12" s="10" t="s">
        <v>25</v>
      </c>
      <c r="B12" s="11" t="s">
        <v>26</v>
      </c>
    </row>
    <row r="15" spans="1:14">
      <c r="A15" s="9" t="s">
        <v>27</v>
      </c>
      <c r="B15" s="9" t="s">
        <v>28</v>
      </c>
      <c r="C15" s="9" t="s">
        <v>29</v>
      </c>
      <c r="E15" s="9" t="s">
        <v>30</v>
      </c>
      <c r="F15" s="9" t="s">
        <v>28</v>
      </c>
      <c r="G15" s="9" t="s">
        <v>29</v>
      </c>
    </row>
    <row r="16" spans="1:14">
      <c r="A16" t="s">
        <v>31</v>
      </c>
      <c r="B16" s="12">
        <f>COUNTIF('WBS 작업목록'!$G$5:$G$69,A16)</f>
        <v>7</v>
      </c>
      <c r="C16" s="12">
        <f>SUMIF('WBS 작업목록'!$G$5:$G$69,A16,'WBS 작업목록'!$M$5:$M$69)</f>
        <v>8.5</v>
      </c>
      <c r="E16" t="s">
        <v>32</v>
      </c>
      <c r="F16" s="12">
        <f>COUNTIF('WBS 작업목록'!$N$5:$N$69,E16)</f>
        <v>49</v>
      </c>
      <c r="G16" s="12">
        <f>SUMIF('WBS 작업목록'!$N$5:$N$69,E16,'WBS 작업목록'!$M$5:$M$69)</f>
        <v>66</v>
      </c>
    </row>
    <row r="17" spans="1:14">
      <c r="A17" t="s">
        <v>33</v>
      </c>
      <c r="B17" s="12">
        <f>COUNTIF('WBS 작업목록'!$G$5:$G$69,A17)</f>
        <v>7</v>
      </c>
      <c r="C17" s="12">
        <f>SUMIF('WBS 작업목록'!$G$5:$G$69,A17,'WBS 작업목록'!$M$5:$M$69)</f>
        <v>11</v>
      </c>
      <c r="E17" t="s">
        <v>15</v>
      </c>
      <c r="F17" s="12">
        <f>COUNTIF('WBS 작업목록'!$N$5:$N$69,E17)</f>
        <v>8</v>
      </c>
      <c r="G17" s="12">
        <f>SUMIF('WBS 작업목록'!$N$5:$N$69,E17,'WBS 작업목록'!$M$5:$M$69)</f>
        <v>11</v>
      </c>
    </row>
    <row r="18" spans="1:14">
      <c r="A18" t="s">
        <v>34</v>
      </c>
      <c r="B18" s="12">
        <f>COUNTIF('WBS 작업목록'!$G$5:$G$69,A18)</f>
        <v>9</v>
      </c>
      <c r="C18" s="12">
        <f>SUMIF('WBS 작업목록'!$G$5:$G$69,A18,'WBS 작업목록'!$M$5:$M$69)</f>
        <v>9.5</v>
      </c>
      <c r="E18" t="s">
        <v>35</v>
      </c>
      <c r="F18" s="12">
        <f>COUNTIF('WBS 작업목록'!$N$5:$N$69,E18)</f>
        <v>8</v>
      </c>
      <c r="G18" s="12">
        <f>SUMIF('WBS 작업목록'!$N$5:$N$69,E18,'WBS 작업목록'!$M$5:$M$69)</f>
        <v>11.5</v>
      </c>
    </row>
    <row r="19" spans="1:14">
      <c r="A19" t="s">
        <v>36</v>
      </c>
      <c r="B19" s="12">
        <f>COUNTIF('WBS 작업목록'!$G$5:$G$69,A19)</f>
        <v>16</v>
      </c>
      <c r="C19" s="12">
        <f>SUMIF('WBS 작업목록'!$G$5:$G$69,A19,'WBS 작업목록'!$M$5:$M$69)</f>
        <v>21</v>
      </c>
      <c r="E19" t="s">
        <v>37</v>
      </c>
      <c r="F19" s="12">
        <f>COUNTIF('WBS 작업목록'!$N$5:$N$69,E19)</f>
        <v>0</v>
      </c>
      <c r="G19" s="12">
        <f>SUMIF('WBS 작업목록'!$N$5:$N$69,E19,'WBS 작업목록'!$M$5:$M$69)</f>
        <v>0</v>
      </c>
    </row>
    <row r="20" spans="1:14">
      <c r="A20" t="s">
        <v>38</v>
      </c>
      <c r="B20" s="12">
        <f>COUNTIF('WBS 작업목록'!$G$5:$G$69,A20)</f>
        <v>15</v>
      </c>
      <c r="C20" s="12">
        <f>SUMIF('WBS 작업목록'!$G$5:$G$69,A20,'WBS 작업목록'!$M$5:$M$69)</f>
        <v>21</v>
      </c>
      <c r="E20" t="s">
        <v>39</v>
      </c>
      <c r="F20" s="12">
        <f>COUNTIF('WBS 작업목록'!$N$5:$N$69,E20)</f>
        <v>0</v>
      </c>
      <c r="G20" s="12">
        <f>SUMIF('WBS 작업목록'!$N$5:$N$69,E20,'WBS 작업목록'!$M$5:$M$69)</f>
        <v>0</v>
      </c>
    </row>
    <row r="21" spans="1:14">
      <c r="A21" t="s">
        <v>40</v>
      </c>
      <c r="B21" s="12">
        <f>COUNTIF('WBS 작업목록'!$G$5:$G$69,A21)</f>
        <v>11</v>
      </c>
      <c r="C21" s="12">
        <f>SUMIF('WBS 작업목록'!$G$5:$G$69,A21,'WBS 작업목록'!$M$5:$M$69)</f>
        <v>17.5</v>
      </c>
    </row>
    <row r="25" spans="1:14">
      <c r="A25" s="29" t="s">
        <v>41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</row>
    <row r="26" spans="1:14" ht="24" customHeight="1">
      <c r="A26" s="10" t="s">
        <v>42</v>
      </c>
      <c r="B26" s="11" t="s">
        <v>43</v>
      </c>
    </row>
    <row r="27" spans="1:14" ht="24" customHeight="1">
      <c r="A27" s="10" t="s">
        <v>44</v>
      </c>
      <c r="B27" s="11" t="s">
        <v>45</v>
      </c>
    </row>
    <row r="28" spans="1:14" ht="24" customHeight="1">
      <c r="A28" s="10" t="s">
        <v>46</v>
      </c>
      <c r="B28" s="11" t="s">
        <v>47</v>
      </c>
    </row>
    <row r="29" spans="1:14" ht="24" customHeight="1">
      <c r="A29" s="10" t="s">
        <v>48</v>
      </c>
      <c r="B29" s="11" t="s">
        <v>49</v>
      </c>
    </row>
    <row r="30" spans="1:14" ht="24" customHeight="1">
      <c r="A30" s="10" t="s">
        <v>50</v>
      </c>
      <c r="B30" s="11" t="s">
        <v>51</v>
      </c>
    </row>
    <row r="31" spans="1:14" ht="24" customHeight="1">
      <c r="A31" s="10" t="s">
        <v>52</v>
      </c>
      <c r="B31" s="11" t="s">
        <v>53</v>
      </c>
    </row>
    <row r="32" spans="1:14" ht="24" customHeight="1">
      <c r="A32" s="10" t="s">
        <v>54</v>
      </c>
      <c r="B32" s="11" t="s">
        <v>55</v>
      </c>
    </row>
    <row r="33" spans="1:14" ht="24" customHeight="1">
      <c r="A33" s="10" t="s">
        <v>56</v>
      </c>
      <c r="B33" s="11" t="s">
        <v>57</v>
      </c>
    </row>
    <row r="36" spans="1:14">
      <c r="A36" s="29" t="s">
        <v>58</v>
      </c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7" spans="1:14" ht="18.649999999999999" customHeight="1">
      <c r="A37" s="11" t="s">
        <v>59</v>
      </c>
      <c r="B37" s="11" t="s">
        <v>60</v>
      </c>
      <c r="C37" s="11" t="s">
        <v>61</v>
      </c>
    </row>
    <row r="38" spans="1:14" ht="18.649999999999999" customHeight="1">
      <c r="A38" s="11" t="s">
        <v>62</v>
      </c>
      <c r="B38" s="11" t="s">
        <v>63</v>
      </c>
      <c r="C38" s="11" t="s">
        <v>64</v>
      </c>
    </row>
    <row r="39" spans="1:14" ht="18.649999999999999" customHeight="1">
      <c r="A39" s="11" t="s">
        <v>65</v>
      </c>
      <c r="B39" s="11" t="s">
        <v>66</v>
      </c>
      <c r="C39" s="11" t="s">
        <v>67</v>
      </c>
    </row>
    <row r="40" spans="1:14" ht="18.649999999999999" customHeight="1">
      <c r="A40" s="11" t="s">
        <v>68</v>
      </c>
      <c r="B40" s="11" t="s">
        <v>69</v>
      </c>
      <c r="C40" s="11" t="s">
        <v>70</v>
      </c>
    </row>
    <row r="41" spans="1:14" ht="18.649999999999999" customHeight="1">
      <c r="A41" s="11" t="s">
        <v>71</v>
      </c>
      <c r="B41" s="11" t="s">
        <v>72</v>
      </c>
      <c r="C41" s="11" t="s">
        <v>73</v>
      </c>
    </row>
    <row r="42" spans="1:14" ht="18.649999999999999" customHeight="1">
      <c r="A42" s="11" t="s">
        <v>74</v>
      </c>
      <c r="B42" s="11" t="s">
        <v>75</v>
      </c>
      <c r="C42" s="11" t="s">
        <v>76</v>
      </c>
    </row>
    <row r="43" spans="1:14" ht="18.649999999999999" customHeight="1">
      <c r="A43" s="11" t="s">
        <v>77</v>
      </c>
      <c r="B43" s="11" t="s">
        <v>78</v>
      </c>
      <c r="C43" s="11" t="s">
        <v>79</v>
      </c>
    </row>
    <row r="44" spans="1:14" ht="18.649999999999999" customHeight="1">
      <c r="A44" s="11" t="s">
        <v>80</v>
      </c>
      <c r="B44" s="11" t="s">
        <v>81</v>
      </c>
      <c r="C44" s="11" t="s">
        <v>82</v>
      </c>
    </row>
    <row r="45" spans="1:14" ht="18.649999999999999" customHeight="1">
      <c r="A45" s="11" t="s">
        <v>83</v>
      </c>
      <c r="B45" s="11" t="s">
        <v>84</v>
      </c>
      <c r="C45" s="11" t="s">
        <v>85</v>
      </c>
    </row>
  </sheetData>
  <mergeCells count="21">
    <mergeCell ref="L8:M8"/>
    <mergeCell ref="L9:M10"/>
    <mergeCell ref="A25:N25"/>
    <mergeCell ref="A36:N36"/>
    <mergeCell ref="F8:G8"/>
    <mergeCell ref="F9:G10"/>
    <mergeCell ref="H8:I8"/>
    <mergeCell ref="H9:I10"/>
    <mergeCell ref="J8:K8"/>
    <mergeCell ref="J9:K10"/>
    <mergeCell ref="A1:N1"/>
    <mergeCell ref="A2:N2"/>
    <mergeCell ref="A4:D4"/>
    <mergeCell ref="F4:G4"/>
    <mergeCell ref="F5:G6"/>
    <mergeCell ref="H4:I4"/>
    <mergeCell ref="H5:I6"/>
    <mergeCell ref="J4:K4"/>
    <mergeCell ref="J5:K6"/>
    <mergeCell ref="L4:M4"/>
    <mergeCell ref="L5:M6"/>
  </mergeCells>
  <phoneticPr fontId="14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9"/>
  <sheetViews>
    <sheetView topLeftCell="L40" workbookViewId="0">
      <selection activeCell="I54" sqref="I54"/>
    </sheetView>
  </sheetViews>
  <sheetFormatPr defaultRowHeight="14"/>
  <cols>
    <col min="1" max="1" width="12" customWidth="1"/>
    <col min="2" max="2" width="9" customWidth="1"/>
    <col min="3" max="3" width="18" customWidth="1"/>
    <col min="4" max="4" width="21" customWidth="1"/>
    <col min="5" max="5" width="55" customWidth="1"/>
    <col min="6" max="6" width="29" customWidth="1"/>
    <col min="7" max="7" width="22" customWidth="1"/>
    <col min="8" max="8" width="12" customWidth="1"/>
    <col min="9" max="9" width="29" customWidth="1"/>
    <col min="10" max="10" width="21" customWidth="1"/>
    <col min="11" max="12" width="13" customWidth="1"/>
    <col min="13" max="13" width="11" customWidth="1"/>
    <col min="14" max="14" width="12" customWidth="1"/>
    <col min="15" max="15" width="10" customWidth="1"/>
    <col min="16" max="16" width="22" customWidth="1"/>
    <col min="17" max="17" width="48" customWidth="1"/>
    <col min="18" max="18" width="31" customWidth="1"/>
  </cols>
  <sheetData>
    <row r="1" spans="1:18" ht="20" customHeight="1">
      <c r="A1" s="30" t="s">
        <v>86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>
      <c r="A2" s="31" t="s">
        <v>87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</row>
    <row r="4" spans="1:18" ht="22.65" customHeight="1">
      <c r="A4" s="3" t="s">
        <v>88</v>
      </c>
      <c r="B4" s="3" t="s">
        <v>89</v>
      </c>
      <c r="C4" s="3" t="s">
        <v>90</v>
      </c>
      <c r="D4" s="3" t="s">
        <v>91</v>
      </c>
      <c r="E4" s="3" t="s">
        <v>92</v>
      </c>
      <c r="F4" s="3" t="s">
        <v>93</v>
      </c>
      <c r="G4" s="3" t="s">
        <v>27</v>
      </c>
      <c r="H4" s="3" t="s">
        <v>94</v>
      </c>
      <c r="I4" s="3" t="s">
        <v>95</v>
      </c>
      <c r="J4" s="3" t="s">
        <v>96</v>
      </c>
      <c r="K4" s="3" t="s">
        <v>97</v>
      </c>
      <c r="L4" s="3" t="s">
        <v>98</v>
      </c>
      <c r="M4" s="3" t="s">
        <v>29</v>
      </c>
      <c r="N4" s="3" t="s">
        <v>30</v>
      </c>
      <c r="O4" s="3" t="s">
        <v>99</v>
      </c>
      <c r="P4" s="3" t="s">
        <v>100</v>
      </c>
      <c r="Q4" s="3" t="s">
        <v>101</v>
      </c>
      <c r="R4" s="3" t="s">
        <v>102</v>
      </c>
    </row>
    <row r="5" spans="1:18" ht="46.65" customHeight="1">
      <c r="A5" s="5" t="s">
        <v>103</v>
      </c>
      <c r="B5" s="5" t="s">
        <v>104</v>
      </c>
      <c r="C5" s="5" t="s">
        <v>105</v>
      </c>
      <c r="D5" s="5" t="s">
        <v>106</v>
      </c>
      <c r="E5" s="4" t="s">
        <v>107</v>
      </c>
      <c r="F5" s="5" t="s">
        <v>108</v>
      </c>
      <c r="G5" s="5" t="s">
        <v>31</v>
      </c>
      <c r="H5" s="5" t="s">
        <v>109</v>
      </c>
      <c r="I5" s="5" t="s">
        <v>110</v>
      </c>
      <c r="J5" s="5" t="s">
        <v>111</v>
      </c>
      <c r="K5" s="6">
        <v>46220</v>
      </c>
      <c r="L5" s="6">
        <v>46220</v>
      </c>
      <c r="M5" s="7">
        <v>1</v>
      </c>
      <c r="N5" s="5" t="s">
        <v>35</v>
      </c>
      <c r="O5" s="8">
        <f t="shared" ref="O5:O36" si="0">IF(N5="완료",1,IF(N5="진행 중",0.5,IF(N5="보류",0.25,0)))</f>
        <v>1</v>
      </c>
      <c r="P5" s="4"/>
      <c r="Q5" s="4" t="s">
        <v>112</v>
      </c>
      <c r="R5" s="4" t="s">
        <v>113</v>
      </c>
    </row>
    <row r="6" spans="1:18" ht="46.65" customHeight="1">
      <c r="A6" s="5" t="s">
        <v>114</v>
      </c>
      <c r="B6" s="5" t="s">
        <v>104</v>
      </c>
      <c r="C6" s="5" t="s">
        <v>105</v>
      </c>
      <c r="D6" s="5" t="s">
        <v>106</v>
      </c>
      <c r="E6" s="4" t="s">
        <v>115</v>
      </c>
      <c r="F6" s="5" t="s">
        <v>116</v>
      </c>
      <c r="G6" s="5" t="s">
        <v>31</v>
      </c>
      <c r="H6" s="5" t="s">
        <v>109</v>
      </c>
      <c r="I6" s="5" t="s">
        <v>110</v>
      </c>
      <c r="J6" s="5" t="s">
        <v>103</v>
      </c>
      <c r="K6" s="6">
        <v>46224</v>
      </c>
      <c r="L6" s="6">
        <v>46224</v>
      </c>
      <c r="M6" s="7">
        <v>1</v>
      </c>
      <c r="N6" s="5" t="s">
        <v>35</v>
      </c>
      <c r="O6" s="8">
        <f t="shared" si="0"/>
        <v>1</v>
      </c>
      <c r="P6" s="4"/>
      <c r="Q6" s="4" t="s">
        <v>117</v>
      </c>
      <c r="R6" s="4" t="s">
        <v>113</v>
      </c>
    </row>
    <row r="7" spans="1:18" ht="46.65" customHeight="1">
      <c r="A7" s="5" t="s">
        <v>118</v>
      </c>
      <c r="B7" s="5" t="s">
        <v>104</v>
      </c>
      <c r="C7" s="5" t="s">
        <v>105</v>
      </c>
      <c r="D7" s="5" t="s">
        <v>106</v>
      </c>
      <c r="E7" s="4" t="s">
        <v>119</v>
      </c>
      <c r="F7" s="5" t="s">
        <v>120</v>
      </c>
      <c r="G7" s="5" t="s">
        <v>31</v>
      </c>
      <c r="H7" s="5" t="s">
        <v>109</v>
      </c>
      <c r="I7" s="5" t="s">
        <v>110</v>
      </c>
      <c r="J7" s="5" t="s">
        <v>121</v>
      </c>
      <c r="K7" s="6">
        <v>46224</v>
      </c>
      <c r="L7" s="6">
        <v>46225</v>
      </c>
      <c r="M7" s="7">
        <v>1</v>
      </c>
      <c r="N7" s="5" t="s">
        <v>35</v>
      </c>
      <c r="O7" s="8">
        <f t="shared" si="0"/>
        <v>1</v>
      </c>
      <c r="P7" s="4"/>
      <c r="Q7" s="4" t="s">
        <v>122</v>
      </c>
      <c r="R7" s="4" t="s">
        <v>113</v>
      </c>
    </row>
    <row r="8" spans="1:18" ht="46.65" customHeight="1">
      <c r="A8" s="5" t="s">
        <v>123</v>
      </c>
      <c r="B8" s="5" t="s">
        <v>104</v>
      </c>
      <c r="C8" s="5" t="s">
        <v>105</v>
      </c>
      <c r="D8" s="5" t="s">
        <v>106</v>
      </c>
      <c r="E8" s="4" t="s">
        <v>124</v>
      </c>
      <c r="F8" s="5" t="s">
        <v>125</v>
      </c>
      <c r="G8" s="5" t="s">
        <v>31</v>
      </c>
      <c r="H8" s="5" t="s">
        <v>109</v>
      </c>
      <c r="I8" s="5" t="s">
        <v>110</v>
      </c>
      <c r="J8" s="5" t="s">
        <v>121</v>
      </c>
      <c r="K8" s="6">
        <v>46223</v>
      </c>
      <c r="L8" s="6">
        <v>46224</v>
      </c>
      <c r="M8" s="7">
        <v>2</v>
      </c>
      <c r="N8" s="5" t="s">
        <v>35</v>
      </c>
      <c r="O8" s="8">
        <f t="shared" si="0"/>
        <v>1</v>
      </c>
      <c r="P8" s="4"/>
      <c r="Q8" s="4" t="s">
        <v>126</v>
      </c>
      <c r="R8" s="4" t="s">
        <v>113</v>
      </c>
    </row>
    <row r="9" spans="1:18" ht="46.65" customHeight="1">
      <c r="A9" s="5" t="s">
        <v>127</v>
      </c>
      <c r="B9" s="5" t="s">
        <v>104</v>
      </c>
      <c r="C9" s="5" t="s">
        <v>105</v>
      </c>
      <c r="D9" s="5" t="s">
        <v>128</v>
      </c>
      <c r="E9" s="4" t="s">
        <v>129</v>
      </c>
      <c r="F9" s="5" t="s">
        <v>130</v>
      </c>
      <c r="G9" s="5" t="s">
        <v>36</v>
      </c>
      <c r="H9" s="5" t="s">
        <v>131</v>
      </c>
      <c r="I9" s="5" t="s">
        <v>132</v>
      </c>
      <c r="J9" s="5" t="s">
        <v>133</v>
      </c>
      <c r="K9" s="6">
        <v>46225</v>
      </c>
      <c r="L9" s="6">
        <v>46226</v>
      </c>
      <c r="M9" s="7">
        <v>2</v>
      </c>
      <c r="N9" s="5" t="s">
        <v>15</v>
      </c>
      <c r="O9" s="8">
        <f t="shared" si="0"/>
        <v>0.5</v>
      </c>
      <c r="P9" s="4"/>
      <c r="Q9" s="4" t="s">
        <v>134</v>
      </c>
      <c r="R9" s="4" t="s">
        <v>113</v>
      </c>
    </row>
    <row r="10" spans="1:18" ht="46.65" customHeight="1">
      <c r="A10" s="5" t="s">
        <v>135</v>
      </c>
      <c r="B10" s="5" t="s">
        <v>104</v>
      </c>
      <c r="C10" s="5" t="s">
        <v>105</v>
      </c>
      <c r="D10" s="5" t="s">
        <v>136</v>
      </c>
      <c r="E10" s="4" t="s">
        <v>137</v>
      </c>
      <c r="F10" s="5" t="s">
        <v>138</v>
      </c>
      <c r="G10" s="5" t="s">
        <v>38</v>
      </c>
      <c r="H10" s="5" t="s">
        <v>139</v>
      </c>
      <c r="I10" s="5" t="s">
        <v>140</v>
      </c>
      <c r="J10" s="5" t="s">
        <v>141</v>
      </c>
      <c r="K10" s="6">
        <v>46225</v>
      </c>
      <c r="L10" s="6">
        <v>46226</v>
      </c>
      <c r="M10" s="7">
        <v>1.5</v>
      </c>
      <c r="N10" s="5" t="s">
        <v>15</v>
      </c>
      <c r="O10" s="8">
        <f t="shared" si="0"/>
        <v>0.5</v>
      </c>
      <c r="P10" s="4"/>
      <c r="Q10" s="4" t="s">
        <v>142</v>
      </c>
      <c r="R10" s="4" t="s">
        <v>113</v>
      </c>
    </row>
    <row r="11" spans="1:18" ht="46.65" customHeight="1">
      <c r="A11" s="5" t="s">
        <v>143</v>
      </c>
      <c r="B11" s="5" t="s">
        <v>104</v>
      </c>
      <c r="C11" s="5" t="s">
        <v>105</v>
      </c>
      <c r="D11" s="5" t="s">
        <v>144</v>
      </c>
      <c r="E11" s="4" t="s">
        <v>145</v>
      </c>
      <c r="F11" s="5" t="s">
        <v>146</v>
      </c>
      <c r="G11" s="5" t="s">
        <v>40</v>
      </c>
      <c r="H11" s="5" t="s">
        <v>147</v>
      </c>
      <c r="I11" s="5" t="s">
        <v>109</v>
      </c>
      <c r="J11" s="5" t="s">
        <v>148</v>
      </c>
      <c r="K11" s="6">
        <v>46226</v>
      </c>
      <c r="L11" s="6">
        <v>46227</v>
      </c>
      <c r="M11" s="7">
        <v>1</v>
      </c>
      <c r="N11" s="5" t="s">
        <v>15</v>
      </c>
      <c r="O11" s="8">
        <f t="shared" si="0"/>
        <v>0.5</v>
      </c>
      <c r="P11" s="4"/>
      <c r="Q11" s="4" t="s">
        <v>149</v>
      </c>
      <c r="R11" s="4" t="s">
        <v>113</v>
      </c>
    </row>
    <row r="12" spans="1:18" ht="46.65" customHeight="1">
      <c r="A12" s="5" t="s">
        <v>150</v>
      </c>
      <c r="B12" s="5" t="s">
        <v>104</v>
      </c>
      <c r="C12" s="5" t="s">
        <v>105</v>
      </c>
      <c r="D12" s="5" t="s">
        <v>151</v>
      </c>
      <c r="E12" s="4" t="s">
        <v>152</v>
      </c>
      <c r="F12" s="5" t="s">
        <v>153</v>
      </c>
      <c r="G12" s="5" t="s">
        <v>40</v>
      </c>
      <c r="H12" s="5" t="s">
        <v>147</v>
      </c>
      <c r="I12" s="5" t="s">
        <v>154</v>
      </c>
      <c r="J12" s="5" t="s">
        <v>103</v>
      </c>
      <c r="K12" s="6">
        <v>46220</v>
      </c>
      <c r="L12" s="6">
        <v>46220</v>
      </c>
      <c r="M12" s="7">
        <v>1</v>
      </c>
      <c r="N12" s="5" t="s">
        <v>35</v>
      </c>
      <c r="O12" s="8">
        <f t="shared" si="0"/>
        <v>1</v>
      </c>
      <c r="P12" s="4"/>
      <c r="Q12" s="4" t="s">
        <v>155</v>
      </c>
      <c r="R12" s="4" t="s">
        <v>113</v>
      </c>
    </row>
    <row r="13" spans="1:18" ht="46.65" customHeight="1">
      <c r="A13" s="5" t="s">
        <v>156</v>
      </c>
      <c r="B13" s="5" t="s">
        <v>104</v>
      </c>
      <c r="C13" s="5" t="s">
        <v>105</v>
      </c>
      <c r="D13" s="5" t="s">
        <v>151</v>
      </c>
      <c r="E13" s="4" t="s">
        <v>157</v>
      </c>
      <c r="F13" s="5" t="s">
        <v>158</v>
      </c>
      <c r="G13" s="5" t="s">
        <v>40</v>
      </c>
      <c r="H13" s="5" t="s">
        <v>147</v>
      </c>
      <c r="I13" s="5" t="s">
        <v>154</v>
      </c>
      <c r="J13" s="5" t="s">
        <v>150</v>
      </c>
      <c r="K13" s="6">
        <v>46223</v>
      </c>
      <c r="L13" s="6">
        <v>46224</v>
      </c>
      <c r="M13" s="7">
        <v>2</v>
      </c>
      <c r="N13" s="5" t="s">
        <v>35</v>
      </c>
      <c r="O13" s="8">
        <f t="shared" si="0"/>
        <v>1</v>
      </c>
      <c r="P13" s="4"/>
      <c r="Q13" s="4" t="s">
        <v>159</v>
      </c>
      <c r="R13" s="4" t="s">
        <v>160</v>
      </c>
    </row>
    <row r="14" spans="1:18" ht="46.65" customHeight="1">
      <c r="A14" s="5" t="s">
        <v>161</v>
      </c>
      <c r="B14" s="5" t="s">
        <v>104</v>
      </c>
      <c r="C14" s="5" t="s">
        <v>105</v>
      </c>
      <c r="D14" s="5" t="s">
        <v>162</v>
      </c>
      <c r="E14" s="4" t="s">
        <v>163</v>
      </c>
      <c r="F14" s="5" t="s">
        <v>164</v>
      </c>
      <c r="G14" s="5" t="s">
        <v>40</v>
      </c>
      <c r="H14" s="5" t="s">
        <v>147</v>
      </c>
      <c r="I14" s="5" t="s">
        <v>154</v>
      </c>
      <c r="J14" s="5" t="s">
        <v>156</v>
      </c>
      <c r="K14" s="6">
        <v>46223</v>
      </c>
      <c r="L14" s="6">
        <v>46225</v>
      </c>
      <c r="M14" s="7">
        <v>1.5</v>
      </c>
      <c r="N14" s="5" t="s">
        <v>35</v>
      </c>
      <c r="O14" s="8">
        <f t="shared" si="0"/>
        <v>1</v>
      </c>
      <c r="P14" s="4"/>
      <c r="Q14" s="4" t="s">
        <v>165</v>
      </c>
      <c r="R14" s="4" t="s">
        <v>160</v>
      </c>
    </row>
    <row r="15" spans="1:18" ht="46.65" customHeight="1">
      <c r="A15" s="5" t="s">
        <v>166</v>
      </c>
      <c r="B15" s="5" t="s">
        <v>104</v>
      </c>
      <c r="C15" s="5" t="s">
        <v>105</v>
      </c>
      <c r="D15" s="5" t="s">
        <v>162</v>
      </c>
      <c r="E15" s="4" t="s">
        <v>167</v>
      </c>
      <c r="F15" s="5" t="s">
        <v>168</v>
      </c>
      <c r="G15" s="5" t="s">
        <v>38</v>
      </c>
      <c r="H15" s="5" t="s">
        <v>139</v>
      </c>
      <c r="I15" s="5" t="s">
        <v>147</v>
      </c>
      <c r="J15" s="5" t="s">
        <v>161</v>
      </c>
      <c r="K15" s="6">
        <v>46231</v>
      </c>
      <c r="L15" s="6">
        <v>46232</v>
      </c>
      <c r="M15" s="7">
        <v>2</v>
      </c>
      <c r="N15" s="5" t="s">
        <v>32</v>
      </c>
      <c r="O15" s="8">
        <f t="shared" si="0"/>
        <v>0</v>
      </c>
      <c r="P15" s="4"/>
      <c r="Q15" s="4" t="s">
        <v>169</v>
      </c>
      <c r="R15" s="4" t="s">
        <v>160</v>
      </c>
    </row>
    <row r="16" spans="1:18" ht="46.65" customHeight="1">
      <c r="A16" s="5" t="s">
        <v>170</v>
      </c>
      <c r="B16" s="5" t="s">
        <v>104</v>
      </c>
      <c r="C16" s="5" t="s">
        <v>105</v>
      </c>
      <c r="D16" s="5" t="s">
        <v>162</v>
      </c>
      <c r="E16" s="4" t="s">
        <v>171</v>
      </c>
      <c r="F16" s="5" t="s">
        <v>172</v>
      </c>
      <c r="G16" s="5" t="s">
        <v>40</v>
      </c>
      <c r="H16" s="5" t="s">
        <v>147</v>
      </c>
      <c r="I16" s="5" t="s">
        <v>154</v>
      </c>
      <c r="J16" s="5" t="s">
        <v>166</v>
      </c>
      <c r="K16" s="6">
        <v>46225</v>
      </c>
      <c r="L16" s="6">
        <v>46227</v>
      </c>
      <c r="M16" s="7">
        <v>1</v>
      </c>
      <c r="N16" s="5" t="s">
        <v>15</v>
      </c>
      <c r="O16" s="8">
        <f t="shared" si="0"/>
        <v>0.5</v>
      </c>
      <c r="P16" s="4"/>
      <c r="Q16" s="4" t="s">
        <v>173</v>
      </c>
      <c r="R16" s="4" t="s">
        <v>160</v>
      </c>
    </row>
    <row r="17" spans="1:18" ht="46.65" customHeight="1">
      <c r="A17" s="5" t="s">
        <v>174</v>
      </c>
      <c r="B17" s="5" t="s">
        <v>104</v>
      </c>
      <c r="C17" s="5" t="s">
        <v>105</v>
      </c>
      <c r="D17" s="5" t="s">
        <v>175</v>
      </c>
      <c r="E17" s="4" t="s">
        <v>176</v>
      </c>
      <c r="F17" s="5" t="s">
        <v>177</v>
      </c>
      <c r="G17" s="5" t="s">
        <v>40</v>
      </c>
      <c r="H17" s="5" t="s">
        <v>147</v>
      </c>
      <c r="I17" s="5" t="s">
        <v>154</v>
      </c>
      <c r="J17" s="5" t="s">
        <v>178</v>
      </c>
      <c r="K17" s="6">
        <v>46225</v>
      </c>
      <c r="L17" s="6">
        <v>46227</v>
      </c>
      <c r="M17" s="7">
        <v>1.5</v>
      </c>
      <c r="N17" s="5" t="s">
        <v>15</v>
      </c>
      <c r="O17" s="8">
        <f t="shared" si="0"/>
        <v>0.5</v>
      </c>
      <c r="P17" s="4"/>
      <c r="Q17" s="4" t="s">
        <v>179</v>
      </c>
      <c r="R17" s="4" t="s">
        <v>160</v>
      </c>
    </row>
    <row r="18" spans="1:18" ht="46.65" customHeight="1">
      <c r="A18" s="5" t="s">
        <v>180</v>
      </c>
      <c r="B18" s="5" t="s">
        <v>104</v>
      </c>
      <c r="C18" s="5" t="s">
        <v>105</v>
      </c>
      <c r="D18" s="5" t="s">
        <v>175</v>
      </c>
      <c r="E18" s="4" t="s">
        <v>181</v>
      </c>
      <c r="F18" s="5" t="s">
        <v>182</v>
      </c>
      <c r="G18" s="5" t="s">
        <v>40</v>
      </c>
      <c r="H18" s="5" t="s">
        <v>147</v>
      </c>
      <c r="I18" s="5" t="s">
        <v>154</v>
      </c>
      <c r="J18" s="5" t="s">
        <v>183</v>
      </c>
      <c r="K18" s="6">
        <v>46223</v>
      </c>
      <c r="L18" s="6">
        <v>46225</v>
      </c>
      <c r="M18" s="7">
        <v>2</v>
      </c>
      <c r="N18" s="5" t="s">
        <v>35</v>
      </c>
      <c r="O18" s="8">
        <f t="shared" si="0"/>
        <v>1</v>
      </c>
      <c r="P18" s="4"/>
      <c r="Q18" s="4" t="s">
        <v>184</v>
      </c>
      <c r="R18" s="4" t="s">
        <v>160</v>
      </c>
    </row>
    <row r="19" spans="1:18" ht="46.65" customHeight="1">
      <c r="A19" s="5" t="s">
        <v>185</v>
      </c>
      <c r="B19" s="5" t="s">
        <v>104</v>
      </c>
      <c r="C19" s="5" t="s">
        <v>105</v>
      </c>
      <c r="D19" s="5" t="s">
        <v>186</v>
      </c>
      <c r="E19" s="4" t="s">
        <v>187</v>
      </c>
      <c r="F19" s="5" t="s">
        <v>188</v>
      </c>
      <c r="G19" s="5" t="s">
        <v>38</v>
      </c>
      <c r="H19" s="5" t="s">
        <v>139</v>
      </c>
      <c r="I19" s="5" t="s">
        <v>189</v>
      </c>
      <c r="J19" s="5" t="s">
        <v>190</v>
      </c>
      <c r="K19" s="6">
        <v>46225</v>
      </c>
      <c r="L19" s="6">
        <v>46230</v>
      </c>
      <c r="M19" s="7">
        <v>1.5</v>
      </c>
      <c r="N19" s="5" t="s">
        <v>15</v>
      </c>
      <c r="O19" s="8">
        <f t="shared" si="0"/>
        <v>0.5</v>
      </c>
      <c r="P19" s="4"/>
      <c r="Q19" s="4" t="s">
        <v>191</v>
      </c>
      <c r="R19" s="4" t="s">
        <v>160</v>
      </c>
    </row>
    <row r="20" spans="1:18" ht="46.65" customHeight="1">
      <c r="A20" s="5" t="s">
        <v>192</v>
      </c>
      <c r="B20" s="5" t="s">
        <v>104</v>
      </c>
      <c r="C20" s="5" t="s">
        <v>193</v>
      </c>
      <c r="D20" s="5" t="s">
        <v>194</v>
      </c>
      <c r="E20" s="4" t="s">
        <v>195</v>
      </c>
      <c r="F20" s="5" t="s">
        <v>196</v>
      </c>
      <c r="G20" s="5" t="s">
        <v>36</v>
      </c>
      <c r="H20" s="5" t="s">
        <v>131</v>
      </c>
      <c r="I20" s="5" t="s">
        <v>147</v>
      </c>
      <c r="J20" s="5" t="s">
        <v>123</v>
      </c>
      <c r="K20" s="6">
        <v>46226</v>
      </c>
      <c r="L20" s="6">
        <v>46226</v>
      </c>
      <c r="M20" s="7">
        <v>1</v>
      </c>
      <c r="N20" s="5" t="s">
        <v>15</v>
      </c>
      <c r="O20" s="8">
        <f t="shared" si="0"/>
        <v>0.5</v>
      </c>
      <c r="P20" s="4"/>
      <c r="Q20" s="4" t="s">
        <v>197</v>
      </c>
      <c r="R20" s="4" t="s">
        <v>198</v>
      </c>
    </row>
    <row r="21" spans="1:18" ht="46.65" customHeight="1">
      <c r="A21" s="5" t="s">
        <v>199</v>
      </c>
      <c r="B21" s="5" t="s">
        <v>104</v>
      </c>
      <c r="C21" s="5" t="s">
        <v>193</v>
      </c>
      <c r="D21" s="5" t="s">
        <v>200</v>
      </c>
      <c r="E21" s="4" t="s">
        <v>201</v>
      </c>
      <c r="F21" s="5" t="s">
        <v>202</v>
      </c>
      <c r="G21" s="5" t="s">
        <v>36</v>
      </c>
      <c r="H21" s="5" t="s">
        <v>131</v>
      </c>
      <c r="I21" s="5" t="s">
        <v>147</v>
      </c>
      <c r="J21" s="5" t="s">
        <v>203</v>
      </c>
      <c r="K21" s="6">
        <v>46227</v>
      </c>
      <c r="L21" s="6">
        <v>46230</v>
      </c>
      <c r="M21" s="7">
        <v>1.5</v>
      </c>
      <c r="N21" s="5" t="s">
        <v>32</v>
      </c>
      <c r="O21" s="8">
        <f t="shared" si="0"/>
        <v>0</v>
      </c>
      <c r="P21" s="4"/>
      <c r="Q21" s="4" t="s">
        <v>204</v>
      </c>
      <c r="R21" s="4" t="s">
        <v>198</v>
      </c>
    </row>
    <row r="22" spans="1:18" ht="46.65" customHeight="1">
      <c r="A22" s="5" t="s">
        <v>205</v>
      </c>
      <c r="B22" s="5" t="s">
        <v>104</v>
      </c>
      <c r="C22" s="5" t="s">
        <v>193</v>
      </c>
      <c r="D22" s="5" t="s">
        <v>206</v>
      </c>
      <c r="E22" s="4" t="s">
        <v>207</v>
      </c>
      <c r="F22" s="5" t="s">
        <v>208</v>
      </c>
      <c r="G22" s="5" t="s">
        <v>36</v>
      </c>
      <c r="H22" s="5" t="s">
        <v>131</v>
      </c>
      <c r="I22" s="5" t="s">
        <v>147</v>
      </c>
      <c r="J22" s="5" t="s">
        <v>209</v>
      </c>
      <c r="K22" s="6">
        <v>46234</v>
      </c>
      <c r="L22" s="6">
        <v>46237</v>
      </c>
      <c r="M22" s="7">
        <v>1.5</v>
      </c>
      <c r="N22" s="5" t="s">
        <v>32</v>
      </c>
      <c r="O22" s="8">
        <f t="shared" si="0"/>
        <v>0</v>
      </c>
      <c r="P22" s="4"/>
      <c r="Q22" s="4" t="s">
        <v>210</v>
      </c>
      <c r="R22" s="4" t="s">
        <v>198</v>
      </c>
    </row>
    <row r="23" spans="1:18" ht="46.65" customHeight="1">
      <c r="A23" s="5" t="s">
        <v>211</v>
      </c>
      <c r="B23" s="5" t="s">
        <v>104</v>
      </c>
      <c r="C23" s="5" t="s">
        <v>193</v>
      </c>
      <c r="D23" s="5" t="s">
        <v>212</v>
      </c>
      <c r="E23" s="4" t="s">
        <v>213</v>
      </c>
      <c r="F23" s="5" t="s">
        <v>214</v>
      </c>
      <c r="G23" s="5" t="s">
        <v>36</v>
      </c>
      <c r="H23" s="5" t="s">
        <v>131</v>
      </c>
      <c r="I23" s="5" t="s">
        <v>147</v>
      </c>
      <c r="J23" s="5" t="s">
        <v>205</v>
      </c>
      <c r="K23" s="6">
        <v>46239</v>
      </c>
      <c r="L23" s="6">
        <v>46240</v>
      </c>
      <c r="M23" s="7">
        <v>1.5</v>
      </c>
      <c r="N23" s="5" t="s">
        <v>32</v>
      </c>
      <c r="O23" s="8">
        <f t="shared" si="0"/>
        <v>0</v>
      </c>
      <c r="P23" s="4"/>
      <c r="Q23" s="4" t="s">
        <v>215</v>
      </c>
      <c r="R23" s="4" t="s">
        <v>198</v>
      </c>
    </row>
    <row r="24" spans="1:18" ht="46.65" customHeight="1">
      <c r="A24" s="5" t="s">
        <v>216</v>
      </c>
      <c r="B24" s="5" t="s">
        <v>104</v>
      </c>
      <c r="C24" s="5" t="s">
        <v>193</v>
      </c>
      <c r="D24" s="5" t="s">
        <v>212</v>
      </c>
      <c r="E24" s="4" t="s">
        <v>217</v>
      </c>
      <c r="F24" s="5" t="s">
        <v>218</v>
      </c>
      <c r="G24" s="5" t="s">
        <v>36</v>
      </c>
      <c r="H24" s="5" t="s">
        <v>131</v>
      </c>
      <c r="I24" s="5" t="s">
        <v>147</v>
      </c>
      <c r="J24" s="5" t="s">
        <v>219</v>
      </c>
      <c r="K24" s="6">
        <v>46244</v>
      </c>
      <c r="L24" s="6">
        <v>46244</v>
      </c>
      <c r="M24" s="7">
        <v>1</v>
      </c>
      <c r="N24" s="5" t="s">
        <v>32</v>
      </c>
      <c r="O24" s="8">
        <f t="shared" si="0"/>
        <v>0</v>
      </c>
      <c r="P24" s="4"/>
      <c r="Q24" s="4" t="s">
        <v>220</v>
      </c>
      <c r="R24" s="4" t="s">
        <v>198</v>
      </c>
    </row>
    <row r="25" spans="1:18" ht="46.65" customHeight="1">
      <c r="A25" s="5" t="s">
        <v>221</v>
      </c>
      <c r="B25" s="5" t="s">
        <v>104</v>
      </c>
      <c r="C25" s="5" t="s">
        <v>193</v>
      </c>
      <c r="D25" s="5" t="s">
        <v>222</v>
      </c>
      <c r="E25" s="4" t="s">
        <v>223</v>
      </c>
      <c r="F25" s="5" t="s">
        <v>224</v>
      </c>
      <c r="G25" s="5" t="s">
        <v>36</v>
      </c>
      <c r="H25" s="5" t="s">
        <v>131</v>
      </c>
      <c r="I25" s="5" t="s">
        <v>147</v>
      </c>
      <c r="J25" s="5" t="s">
        <v>225</v>
      </c>
      <c r="K25" s="6">
        <v>46245</v>
      </c>
      <c r="L25" s="6">
        <v>46246</v>
      </c>
      <c r="M25" s="7">
        <v>1.5</v>
      </c>
      <c r="N25" s="5" t="s">
        <v>32</v>
      </c>
      <c r="O25" s="8">
        <f t="shared" si="0"/>
        <v>0</v>
      </c>
      <c r="P25" s="4"/>
      <c r="Q25" s="4" t="s">
        <v>226</v>
      </c>
      <c r="R25" s="4" t="s">
        <v>198</v>
      </c>
    </row>
    <row r="26" spans="1:18" ht="46.65" customHeight="1">
      <c r="A26" s="5" t="s">
        <v>227</v>
      </c>
      <c r="B26" s="5" t="s">
        <v>104</v>
      </c>
      <c r="C26" s="5" t="s">
        <v>193</v>
      </c>
      <c r="D26" s="5" t="s">
        <v>228</v>
      </c>
      <c r="E26" s="4" t="s">
        <v>229</v>
      </c>
      <c r="F26" s="5" t="s">
        <v>230</v>
      </c>
      <c r="G26" s="5" t="s">
        <v>36</v>
      </c>
      <c r="H26" s="5" t="s">
        <v>131</v>
      </c>
      <c r="I26" s="5" t="s">
        <v>147</v>
      </c>
      <c r="J26" s="5" t="s">
        <v>209</v>
      </c>
      <c r="K26" s="6">
        <v>46231</v>
      </c>
      <c r="L26" s="6">
        <v>46232</v>
      </c>
      <c r="M26" s="7">
        <v>1.5</v>
      </c>
      <c r="N26" s="5" t="s">
        <v>32</v>
      </c>
      <c r="O26" s="8">
        <f t="shared" si="0"/>
        <v>0</v>
      </c>
      <c r="P26" s="4"/>
      <c r="Q26" s="4" t="s">
        <v>231</v>
      </c>
      <c r="R26" s="4" t="s">
        <v>198</v>
      </c>
    </row>
    <row r="27" spans="1:18" ht="46.65" customHeight="1">
      <c r="A27" s="5" t="s">
        <v>232</v>
      </c>
      <c r="B27" s="5" t="s">
        <v>104</v>
      </c>
      <c r="C27" s="5" t="s">
        <v>193</v>
      </c>
      <c r="D27" s="5" t="s">
        <v>228</v>
      </c>
      <c r="E27" s="4" t="s">
        <v>233</v>
      </c>
      <c r="F27" s="5" t="s">
        <v>234</v>
      </c>
      <c r="G27" s="5" t="s">
        <v>36</v>
      </c>
      <c r="H27" s="5" t="s">
        <v>131</v>
      </c>
      <c r="I27" s="5" t="s">
        <v>147</v>
      </c>
      <c r="J27" s="5" t="s">
        <v>235</v>
      </c>
      <c r="K27" s="6">
        <v>46233</v>
      </c>
      <c r="L27" s="6">
        <v>46234</v>
      </c>
      <c r="M27" s="7">
        <v>1.5</v>
      </c>
      <c r="N27" s="5" t="s">
        <v>32</v>
      </c>
      <c r="O27" s="8">
        <f t="shared" si="0"/>
        <v>0</v>
      </c>
      <c r="P27" s="4"/>
      <c r="Q27" s="4" t="s">
        <v>236</v>
      </c>
      <c r="R27" s="4" t="s">
        <v>198</v>
      </c>
    </row>
    <row r="28" spans="1:18" ht="46.65" customHeight="1">
      <c r="A28" s="5" t="s">
        <v>237</v>
      </c>
      <c r="B28" s="5" t="s">
        <v>104</v>
      </c>
      <c r="C28" s="5" t="s">
        <v>193</v>
      </c>
      <c r="D28" s="5" t="s">
        <v>238</v>
      </c>
      <c r="E28" s="4" t="s">
        <v>239</v>
      </c>
      <c r="F28" s="5" t="s">
        <v>240</v>
      </c>
      <c r="G28" s="5" t="s">
        <v>36</v>
      </c>
      <c r="H28" s="5" t="s">
        <v>131</v>
      </c>
      <c r="I28" s="5" t="s">
        <v>147</v>
      </c>
      <c r="J28" s="5" t="s">
        <v>241</v>
      </c>
      <c r="K28" s="6">
        <v>46247</v>
      </c>
      <c r="L28" s="6">
        <v>46248</v>
      </c>
      <c r="M28" s="7">
        <v>1</v>
      </c>
      <c r="N28" s="5" t="s">
        <v>32</v>
      </c>
      <c r="O28" s="8">
        <f t="shared" si="0"/>
        <v>0</v>
      </c>
      <c r="P28" s="4"/>
      <c r="Q28" s="4" t="s">
        <v>242</v>
      </c>
      <c r="R28" s="4" t="s">
        <v>198</v>
      </c>
    </row>
    <row r="29" spans="1:18" ht="46.65" customHeight="1">
      <c r="A29" s="5" t="s">
        <v>243</v>
      </c>
      <c r="B29" s="5" t="s">
        <v>104</v>
      </c>
      <c r="C29" s="5" t="s">
        <v>244</v>
      </c>
      <c r="D29" s="5" t="s">
        <v>245</v>
      </c>
      <c r="E29" s="4" t="s">
        <v>246</v>
      </c>
      <c r="F29" s="5" t="s">
        <v>247</v>
      </c>
      <c r="G29" s="5" t="s">
        <v>38</v>
      </c>
      <c r="H29" s="5" t="s">
        <v>139</v>
      </c>
      <c r="I29" s="5" t="s">
        <v>248</v>
      </c>
      <c r="J29" s="5" t="s">
        <v>249</v>
      </c>
      <c r="K29" s="6">
        <v>46233</v>
      </c>
      <c r="L29" s="6">
        <v>46234</v>
      </c>
      <c r="M29" s="7">
        <v>2</v>
      </c>
      <c r="N29" s="5" t="s">
        <v>32</v>
      </c>
      <c r="O29" s="8">
        <f t="shared" si="0"/>
        <v>0</v>
      </c>
      <c r="P29" s="4"/>
      <c r="Q29" s="4" t="s">
        <v>250</v>
      </c>
      <c r="R29" s="4" t="s">
        <v>251</v>
      </c>
    </row>
    <row r="30" spans="1:18" ht="46.65" customHeight="1">
      <c r="A30" s="5" t="s">
        <v>252</v>
      </c>
      <c r="B30" s="5" t="s">
        <v>104</v>
      </c>
      <c r="C30" s="5" t="s">
        <v>244</v>
      </c>
      <c r="D30" s="5" t="s">
        <v>245</v>
      </c>
      <c r="E30" s="4" t="s">
        <v>253</v>
      </c>
      <c r="F30" s="5" t="s">
        <v>254</v>
      </c>
      <c r="G30" s="5" t="s">
        <v>38</v>
      </c>
      <c r="H30" s="5" t="s">
        <v>139</v>
      </c>
      <c r="I30" s="5" t="s">
        <v>248</v>
      </c>
      <c r="J30" s="5" t="s">
        <v>255</v>
      </c>
      <c r="K30" s="6">
        <v>46240</v>
      </c>
      <c r="L30" s="6">
        <v>46241</v>
      </c>
      <c r="M30" s="7">
        <v>2</v>
      </c>
      <c r="N30" s="5" t="s">
        <v>32</v>
      </c>
      <c r="O30" s="8">
        <f t="shared" si="0"/>
        <v>0</v>
      </c>
      <c r="P30" s="4"/>
      <c r="Q30" s="4" t="s">
        <v>256</v>
      </c>
      <c r="R30" s="4" t="s">
        <v>251</v>
      </c>
    </row>
    <row r="31" spans="1:18" ht="46.65" customHeight="1">
      <c r="A31" s="5" t="s">
        <v>257</v>
      </c>
      <c r="B31" s="5" t="s">
        <v>104</v>
      </c>
      <c r="C31" s="5" t="s">
        <v>244</v>
      </c>
      <c r="D31" s="5" t="s">
        <v>245</v>
      </c>
      <c r="E31" s="4" t="s">
        <v>258</v>
      </c>
      <c r="F31" s="5" t="s">
        <v>259</v>
      </c>
      <c r="G31" s="5" t="s">
        <v>38</v>
      </c>
      <c r="H31" s="5" t="s">
        <v>139</v>
      </c>
      <c r="I31" s="5" t="s">
        <v>248</v>
      </c>
      <c r="J31" s="5" t="s">
        <v>260</v>
      </c>
      <c r="K31" s="6">
        <v>46244</v>
      </c>
      <c r="L31" s="6">
        <v>46245</v>
      </c>
      <c r="M31" s="7">
        <v>1.5</v>
      </c>
      <c r="N31" s="5" t="s">
        <v>32</v>
      </c>
      <c r="O31" s="8">
        <f t="shared" si="0"/>
        <v>0</v>
      </c>
      <c r="P31" s="4"/>
      <c r="Q31" s="4" t="s">
        <v>261</v>
      </c>
      <c r="R31" s="4" t="s">
        <v>251</v>
      </c>
    </row>
    <row r="32" spans="1:18" ht="46.65" customHeight="1">
      <c r="A32" s="5" t="s">
        <v>262</v>
      </c>
      <c r="B32" s="5" t="s">
        <v>104</v>
      </c>
      <c r="C32" s="5" t="s">
        <v>244</v>
      </c>
      <c r="D32" s="5" t="s">
        <v>263</v>
      </c>
      <c r="E32" s="4" t="s">
        <v>264</v>
      </c>
      <c r="F32" s="5" t="s">
        <v>265</v>
      </c>
      <c r="G32" s="5" t="s">
        <v>38</v>
      </c>
      <c r="H32" s="5" t="s">
        <v>139</v>
      </c>
      <c r="I32" s="5" t="s">
        <v>248</v>
      </c>
      <c r="J32" s="5" t="s">
        <v>266</v>
      </c>
      <c r="K32" s="6">
        <v>46246</v>
      </c>
      <c r="L32" s="6">
        <v>46247</v>
      </c>
      <c r="M32" s="7">
        <v>1.5</v>
      </c>
      <c r="N32" s="5" t="s">
        <v>32</v>
      </c>
      <c r="O32" s="8">
        <f t="shared" si="0"/>
        <v>0</v>
      </c>
      <c r="P32" s="4"/>
      <c r="Q32" s="4" t="s">
        <v>267</v>
      </c>
      <c r="R32" s="4" t="s">
        <v>251</v>
      </c>
    </row>
    <row r="33" spans="1:18" ht="46.65" customHeight="1">
      <c r="A33" s="5" t="s">
        <v>268</v>
      </c>
      <c r="B33" s="5" t="s">
        <v>104</v>
      </c>
      <c r="C33" s="5" t="s">
        <v>244</v>
      </c>
      <c r="D33" s="5" t="s">
        <v>269</v>
      </c>
      <c r="E33" s="4" t="s">
        <v>270</v>
      </c>
      <c r="F33" s="5" t="s">
        <v>271</v>
      </c>
      <c r="G33" s="5" t="s">
        <v>36</v>
      </c>
      <c r="H33" s="5" t="s">
        <v>131</v>
      </c>
      <c r="I33" s="5" t="s">
        <v>272</v>
      </c>
      <c r="J33" s="5" t="s">
        <v>273</v>
      </c>
      <c r="K33" s="6">
        <v>46247</v>
      </c>
      <c r="L33" s="6">
        <v>46248</v>
      </c>
      <c r="M33" s="7">
        <v>1</v>
      </c>
      <c r="N33" s="5" t="s">
        <v>32</v>
      </c>
      <c r="O33" s="8">
        <f t="shared" si="0"/>
        <v>0</v>
      </c>
      <c r="P33" s="4"/>
      <c r="Q33" s="4" t="s">
        <v>274</v>
      </c>
      <c r="R33" s="4" t="s">
        <v>251</v>
      </c>
    </row>
    <row r="34" spans="1:18" ht="46.65" customHeight="1">
      <c r="A34" s="5" t="s">
        <v>275</v>
      </c>
      <c r="B34" s="5" t="s">
        <v>104</v>
      </c>
      <c r="C34" s="5" t="s">
        <v>244</v>
      </c>
      <c r="D34" s="5" t="s">
        <v>245</v>
      </c>
      <c r="E34" s="4" t="s">
        <v>276</v>
      </c>
      <c r="F34" s="5" t="s">
        <v>277</v>
      </c>
      <c r="G34" s="5" t="s">
        <v>38</v>
      </c>
      <c r="H34" s="5" t="s">
        <v>139</v>
      </c>
      <c r="I34" s="5" t="s">
        <v>248</v>
      </c>
      <c r="J34" s="5" t="s">
        <v>278</v>
      </c>
      <c r="K34" s="6">
        <v>46248</v>
      </c>
      <c r="L34" s="6">
        <v>46251</v>
      </c>
      <c r="M34" s="7">
        <v>2</v>
      </c>
      <c r="N34" s="5" t="s">
        <v>32</v>
      </c>
      <c r="O34" s="8">
        <f t="shared" si="0"/>
        <v>0</v>
      </c>
      <c r="P34" s="4"/>
      <c r="Q34" s="4" t="s">
        <v>279</v>
      </c>
      <c r="R34" s="4" t="s">
        <v>251</v>
      </c>
    </row>
    <row r="35" spans="1:18" ht="46.65" customHeight="1">
      <c r="A35" s="5" t="s">
        <v>280</v>
      </c>
      <c r="B35" s="5" t="s">
        <v>104</v>
      </c>
      <c r="C35" s="5" t="s">
        <v>244</v>
      </c>
      <c r="D35" s="5" t="s">
        <v>281</v>
      </c>
      <c r="E35" s="4" t="s">
        <v>282</v>
      </c>
      <c r="F35" s="5" t="s">
        <v>283</v>
      </c>
      <c r="G35" s="5" t="s">
        <v>38</v>
      </c>
      <c r="H35" s="5" t="s">
        <v>139</v>
      </c>
      <c r="I35" s="5" t="s">
        <v>189</v>
      </c>
      <c r="J35" s="5" t="s">
        <v>284</v>
      </c>
      <c r="K35" s="6">
        <v>46252</v>
      </c>
      <c r="L35" s="6">
        <v>46252</v>
      </c>
      <c r="M35" s="7">
        <v>1</v>
      </c>
      <c r="N35" s="5" t="s">
        <v>32</v>
      </c>
      <c r="O35" s="8">
        <f t="shared" si="0"/>
        <v>0</v>
      </c>
      <c r="P35" s="4"/>
      <c r="Q35" s="4" t="s">
        <v>285</v>
      </c>
      <c r="R35" s="4" t="s">
        <v>251</v>
      </c>
    </row>
    <row r="36" spans="1:18" ht="46.65" customHeight="1">
      <c r="A36" s="5" t="s">
        <v>286</v>
      </c>
      <c r="B36" s="5" t="s">
        <v>104</v>
      </c>
      <c r="C36" s="5" t="s">
        <v>244</v>
      </c>
      <c r="D36" s="5" t="s">
        <v>281</v>
      </c>
      <c r="E36" s="4" t="s">
        <v>287</v>
      </c>
      <c r="F36" s="5" t="s">
        <v>288</v>
      </c>
      <c r="G36" s="5" t="s">
        <v>38</v>
      </c>
      <c r="H36" s="5" t="s">
        <v>139</v>
      </c>
      <c r="I36" s="5" t="s">
        <v>189</v>
      </c>
      <c r="J36" s="5" t="s">
        <v>289</v>
      </c>
      <c r="K36" s="6">
        <v>46253</v>
      </c>
      <c r="L36" s="6">
        <v>46253</v>
      </c>
      <c r="M36" s="7">
        <v>1</v>
      </c>
      <c r="N36" s="5" t="s">
        <v>32</v>
      </c>
      <c r="O36" s="8">
        <f t="shared" si="0"/>
        <v>0</v>
      </c>
      <c r="P36" s="4"/>
      <c r="Q36" s="4" t="s">
        <v>290</v>
      </c>
      <c r="R36" s="4" t="s">
        <v>251</v>
      </c>
    </row>
    <row r="37" spans="1:18" ht="46.65" customHeight="1">
      <c r="A37" s="5" t="s">
        <v>291</v>
      </c>
      <c r="B37" s="5" t="s">
        <v>104</v>
      </c>
      <c r="C37" s="5" t="s">
        <v>244</v>
      </c>
      <c r="D37" s="5" t="s">
        <v>292</v>
      </c>
      <c r="E37" s="4" t="s">
        <v>293</v>
      </c>
      <c r="F37" s="5" t="s">
        <v>294</v>
      </c>
      <c r="G37" s="5" t="s">
        <v>38</v>
      </c>
      <c r="H37" s="5" t="s">
        <v>139</v>
      </c>
      <c r="I37" s="5" t="s">
        <v>189</v>
      </c>
      <c r="J37" s="5" t="s">
        <v>295</v>
      </c>
      <c r="K37" s="6">
        <v>46254</v>
      </c>
      <c r="L37" s="6">
        <v>46254</v>
      </c>
      <c r="M37" s="7">
        <v>0.5</v>
      </c>
      <c r="N37" s="5" t="s">
        <v>32</v>
      </c>
      <c r="O37" s="8">
        <f t="shared" ref="O37:O68" si="1">IF(N37="완료",1,IF(N37="진행 중",0.5,IF(N37="보류",0.25,0)))</f>
        <v>0</v>
      </c>
      <c r="P37" s="4"/>
      <c r="Q37" s="4" t="s">
        <v>296</v>
      </c>
      <c r="R37" s="4" t="s">
        <v>251</v>
      </c>
    </row>
    <row r="38" spans="1:18" ht="46.65" customHeight="1">
      <c r="A38" s="5" t="s">
        <v>297</v>
      </c>
      <c r="B38" s="5" t="s">
        <v>104</v>
      </c>
      <c r="C38" s="5" t="s">
        <v>244</v>
      </c>
      <c r="D38" s="5" t="s">
        <v>298</v>
      </c>
      <c r="E38" s="4" t="s">
        <v>299</v>
      </c>
      <c r="F38" s="5" t="s">
        <v>300</v>
      </c>
      <c r="G38" s="5" t="s">
        <v>38</v>
      </c>
      <c r="H38" s="5" t="s">
        <v>139</v>
      </c>
      <c r="I38" s="5" t="s">
        <v>248</v>
      </c>
      <c r="J38" s="5" t="s">
        <v>301</v>
      </c>
      <c r="K38" s="6">
        <v>46254</v>
      </c>
      <c r="L38" s="6">
        <v>46254</v>
      </c>
      <c r="M38" s="7">
        <v>1</v>
      </c>
      <c r="N38" s="5" t="s">
        <v>32</v>
      </c>
      <c r="O38" s="8">
        <f t="shared" si="1"/>
        <v>0</v>
      </c>
      <c r="P38" s="4"/>
      <c r="Q38" s="4" t="s">
        <v>302</v>
      </c>
      <c r="R38" s="4" t="s">
        <v>251</v>
      </c>
    </row>
    <row r="39" spans="1:18" ht="46.65" customHeight="1">
      <c r="A39" s="5" t="s">
        <v>303</v>
      </c>
      <c r="B39" s="5" t="s">
        <v>104</v>
      </c>
      <c r="C39" s="5" t="s">
        <v>244</v>
      </c>
      <c r="D39" s="5" t="s">
        <v>304</v>
      </c>
      <c r="E39" s="4" t="s">
        <v>305</v>
      </c>
      <c r="F39" s="5" t="s">
        <v>306</v>
      </c>
      <c r="G39" s="5" t="s">
        <v>38</v>
      </c>
      <c r="H39" s="5" t="s">
        <v>139</v>
      </c>
      <c r="I39" s="5" t="s">
        <v>248</v>
      </c>
      <c r="J39" s="5" t="s">
        <v>307</v>
      </c>
      <c r="K39" s="6">
        <v>46238</v>
      </c>
      <c r="L39" s="6">
        <v>46239</v>
      </c>
      <c r="M39" s="7">
        <v>1.5</v>
      </c>
      <c r="N39" s="5" t="s">
        <v>32</v>
      </c>
      <c r="O39" s="8">
        <f t="shared" si="1"/>
        <v>0</v>
      </c>
      <c r="P39" s="4"/>
      <c r="Q39" s="4" t="s">
        <v>308</v>
      </c>
      <c r="R39" s="4" t="s">
        <v>251</v>
      </c>
    </row>
    <row r="40" spans="1:18" ht="46.65" customHeight="1">
      <c r="A40" s="5" t="s">
        <v>309</v>
      </c>
      <c r="B40" s="5" t="s">
        <v>104</v>
      </c>
      <c r="C40" s="5" t="s">
        <v>310</v>
      </c>
      <c r="D40" s="5" t="s">
        <v>311</v>
      </c>
      <c r="E40" s="4" t="s">
        <v>312</v>
      </c>
      <c r="F40" s="5" t="s">
        <v>313</v>
      </c>
      <c r="G40" s="5" t="s">
        <v>33</v>
      </c>
      <c r="H40" s="5" t="s">
        <v>314</v>
      </c>
      <c r="I40" s="5" t="s">
        <v>315</v>
      </c>
      <c r="J40" s="5" t="s">
        <v>316</v>
      </c>
      <c r="K40" s="6">
        <v>46245</v>
      </c>
      <c r="L40" s="6">
        <v>46246</v>
      </c>
      <c r="M40" s="7">
        <v>1.5</v>
      </c>
      <c r="N40" s="5" t="s">
        <v>32</v>
      </c>
      <c r="O40" s="8">
        <f t="shared" si="1"/>
        <v>0</v>
      </c>
      <c r="P40" s="4"/>
      <c r="Q40" s="4" t="s">
        <v>317</v>
      </c>
      <c r="R40" s="4" t="s">
        <v>318</v>
      </c>
    </row>
    <row r="41" spans="1:18" ht="46.65" customHeight="1">
      <c r="A41" s="5" t="s">
        <v>319</v>
      </c>
      <c r="B41" s="5" t="s">
        <v>104</v>
      </c>
      <c r="C41" s="5" t="s">
        <v>310</v>
      </c>
      <c r="D41" s="5" t="s">
        <v>311</v>
      </c>
      <c r="E41" s="4" t="s">
        <v>320</v>
      </c>
      <c r="F41" s="5" t="s">
        <v>321</v>
      </c>
      <c r="G41" s="5" t="s">
        <v>33</v>
      </c>
      <c r="H41" s="5" t="s">
        <v>314</v>
      </c>
      <c r="I41" s="5" t="s">
        <v>315</v>
      </c>
      <c r="J41" s="5" t="s">
        <v>322</v>
      </c>
      <c r="K41" s="6">
        <v>46247</v>
      </c>
      <c r="L41" s="6">
        <v>46248</v>
      </c>
      <c r="M41" s="7">
        <v>2</v>
      </c>
      <c r="N41" s="5" t="s">
        <v>32</v>
      </c>
      <c r="O41" s="8">
        <f t="shared" si="1"/>
        <v>0</v>
      </c>
      <c r="P41" s="4"/>
      <c r="Q41" s="4" t="s">
        <v>323</v>
      </c>
      <c r="R41" s="4" t="s">
        <v>318</v>
      </c>
    </row>
    <row r="42" spans="1:18" ht="46.65" customHeight="1">
      <c r="A42" s="5" t="s">
        <v>324</v>
      </c>
      <c r="B42" s="5" t="s">
        <v>104</v>
      </c>
      <c r="C42" s="5" t="s">
        <v>310</v>
      </c>
      <c r="D42" s="5" t="s">
        <v>311</v>
      </c>
      <c r="E42" s="4" t="s">
        <v>325</v>
      </c>
      <c r="F42" s="5" t="s">
        <v>326</v>
      </c>
      <c r="G42" s="5" t="s">
        <v>33</v>
      </c>
      <c r="H42" s="5" t="s">
        <v>314</v>
      </c>
      <c r="I42" s="5" t="s">
        <v>315</v>
      </c>
      <c r="J42" s="5" t="s">
        <v>327</v>
      </c>
      <c r="K42" s="6">
        <v>46251</v>
      </c>
      <c r="L42" s="6">
        <v>46252</v>
      </c>
      <c r="M42" s="7">
        <v>2</v>
      </c>
      <c r="N42" s="5" t="s">
        <v>32</v>
      </c>
      <c r="O42" s="8">
        <f t="shared" si="1"/>
        <v>0</v>
      </c>
      <c r="P42" s="4"/>
      <c r="Q42" s="4" t="s">
        <v>328</v>
      </c>
      <c r="R42" s="4" t="s">
        <v>318</v>
      </c>
    </row>
    <row r="43" spans="1:18" ht="46.65" customHeight="1">
      <c r="A43" s="5" t="s">
        <v>329</v>
      </c>
      <c r="B43" s="5" t="s">
        <v>104</v>
      </c>
      <c r="C43" s="5" t="s">
        <v>310</v>
      </c>
      <c r="D43" s="5" t="s">
        <v>311</v>
      </c>
      <c r="E43" s="4" t="s">
        <v>330</v>
      </c>
      <c r="F43" s="5" t="s">
        <v>331</v>
      </c>
      <c r="G43" s="5" t="s">
        <v>33</v>
      </c>
      <c r="H43" s="5" t="s">
        <v>314</v>
      </c>
      <c r="I43" s="5" t="s">
        <v>315</v>
      </c>
      <c r="J43" s="5" t="s">
        <v>332</v>
      </c>
      <c r="K43" s="6">
        <v>46253</v>
      </c>
      <c r="L43" s="6">
        <v>46254</v>
      </c>
      <c r="M43" s="7">
        <v>1.5</v>
      </c>
      <c r="N43" s="5" t="s">
        <v>32</v>
      </c>
      <c r="O43" s="8">
        <f t="shared" si="1"/>
        <v>0</v>
      </c>
      <c r="P43" s="4"/>
      <c r="Q43" s="4" t="s">
        <v>333</v>
      </c>
      <c r="R43" s="4" t="s">
        <v>318</v>
      </c>
    </row>
    <row r="44" spans="1:18" ht="46.65" customHeight="1">
      <c r="A44" s="5" t="s">
        <v>334</v>
      </c>
      <c r="B44" s="5" t="s">
        <v>104</v>
      </c>
      <c r="C44" s="5" t="s">
        <v>310</v>
      </c>
      <c r="D44" s="5" t="s">
        <v>311</v>
      </c>
      <c r="E44" s="4" t="s">
        <v>335</v>
      </c>
      <c r="F44" s="5" t="s">
        <v>336</v>
      </c>
      <c r="G44" s="5" t="s">
        <v>33</v>
      </c>
      <c r="H44" s="5" t="s">
        <v>314</v>
      </c>
      <c r="I44" s="5" t="s">
        <v>315</v>
      </c>
      <c r="J44" s="5" t="s">
        <v>485</v>
      </c>
      <c r="K44" s="6">
        <v>46246</v>
      </c>
      <c r="L44" s="6">
        <v>46247</v>
      </c>
      <c r="M44" s="7">
        <v>1</v>
      </c>
      <c r="N44" s="5" t="s">
        <v>32</v>
      </c>
      <c r="O44" s="8">
        <f t="shared" si="1"/>
        <v>0</v>
      </c>
      <c r="P44" s="4"/>
      <c r="Q44" s="4" t="s">
        <v>337</v>
      </c>
      <c r="R44" s="4" t="s">
        <v>318</v>
      </c>
    </row>
    <row r="45" spans="1:18" ht="46.65" customHeight="1">
      <c r="A45" s="5" t="s">
        <v>338</v>
      </c>
      <c r="B45" s="5" t="s">
        <v>104</v>
      </c>
      <c r="C45" s="5" t="s">
        <v>310</v>
      </c>
      <c r="D45" s="5" t="s">
        <v>339</v>
      </c>
      <c r="E45" s="4" t="s">
        <v>340</v>
      </c>
      <c r="F45" s="5" t="s">
        <v>341</v>
      </c>
      <c r="G45" s="5" t="s">
        <v>34</v>
      </c>
      <c r="H45" s="5" t="s">
        <v>342</v>
      </c>
      <c r="I45" s="5" t="s">
        <v>315</v>
      </c>
      <c r="J45" s="5" t="s">
        <v>343</v>
      </c>
      <c r="K45" s="6">
        <v>46230</v>
      </c>
      <c r="L45" s="6">
        <v>46231</v>
      </c>
      <c r="M45" s="7">
        <v>1.5</v>
      </c>
      <c r="N45" s="5" t="s">
        <v>32</v>
      </c>
      <c r="O45" s="8">
        <f t="shared" si="1"/>
        <v>0</v>
      </c>
      <c r="P45" s="4"/>
      <c r="Q45" s="4" t="s">
        <v>344</v>
      </c>
      <c r="R45" s="4" t="s">
        <v>318</v>
      </c>
    </row>
    <row r="46" spans="1:18" ht="46.65" customHeight="1">
      <c r="A46" s="5" t="s">
        <v>345</v>
      </c>
      <c r="B46" s="5" t="s">
        <v>104</v>
      </c>
      <c r="C46" s="5" t="s">
        <v>310</v>
      </c>
      <c r="D46" s="5" t="s">
        <v>339</v>
      </c>
      <c r="E46" s="4" t="s">
        <v>346</v>
      </c>
      <c r="F46" s="5" t="s">
        <v>347</v>
      </c>
      <c r="G46" s="5" t="s">
        <v>34</v>
      </c>
      <c r="H46" s="5" t="s">
        <v>342</v>
      </c>
      <c r="I46" s="5" t="s">
        <v>315</v>
      </c>
      <c r="J46" s="5" t="s">
        <v>348</v>
      </c>
      <c r="K46" s="6">
        <v>46232</v>
      </c>
      <c r="L46" s="6">
        <v>46233</v>
      </c>
      <c r="M46" s="7">
        <v>2</v>
      </c>
      <c r="N46" s="5" t="s">
        <v>32</v>
      </c>
      <c r="O46" s="8">
        <f t="shared" si="1"/>
        <v>0</v>
      </c>
      <c r="P46" s="4"/>
      <c r="Q46" s="4" t="s">
        <v>349</v>
      </c>
      <c r="R46" s="4" t="s">
        <v>318</v>
      </c>
    </row>
    <row r="47" spans="1:18" ht="46.65" customHeight="1">
      <c r="A47" s="5" t="s">
        <v>350</v>
      </c>
      <c r="B47" s="5" t="s">
        <v>104</v>
      </c>
      <c r="C47" s="5" t="s">
        <v>310</v>
      </c>
      <c r="D47" s="5" t="s">
        <v>339</v>
      </c>
      <c r="E47" s="4" t="s">
        <v>351</v>
      </c>
      <c r="F47" s="5" t="s">
        <v>352</v>
      </c>
      <c r="G47" s="5" t="s">
        <v>34</v>
      </c>
      <c r="H47" s="5" t="s">
        <v>342</v>
      </c>
      <c r="I47" s="5" t="s">
        <v>315</v>
      </c>
      <c r="J47" s="5" t="s">
        <v>353</v>
      </c>
      <c r="K47" s="6">
        <v>46234</v>
      </c>
      <c r="L47" s="6">
        <v>46237</v>
      </c>
      <c r="M47" s="7">
        <v>1.5</v>
      </c>
      <c r="N47" s="5" t="s">
        <v>32</v>
      </c>
      <c r="O47" s="8">
        <f t="shared" si="1"/>
        <v>0</v>
      </c>
      <c r="P47" s="4"/>
      <c r="Q47" s="4" t="s">
        <v>354</v>
      </c>
      <c r="R47" s="4" t="s">
        <v>318</v>
      </c>
    </row>
    <row r="48" spans="1:18" ht="46.65" customHeight="1">
      <c r="A48" s="5" t="s">
        <v>355</v>
      </c>
      <c r="B48" s="5" t="s">
        <v>104</v>
      </c>
      <c r="C48" s="5" t="s">
        <v>310</v>
      </c>
      <c r="D48" s="5" t="s">
        <v>339</v>
      </c>
      <c r="E48" s="4" t="s">
        <v>356</v>
      </c>
      <c r="F48" s="5" t="s">
        <v>357</v>
      </c>
      <c r="G48" s="5" t="s">
        <v>34</v>
      </c>
      <c r="H48" s="5" t="s">
        <v>342</v>
      </c>
      <c r="I48" s="5" t="s">
        <v>315</v>
      </c>
      <c r="J48" s="5" t="s">
        <v>358</v>
      </c>
      <c r="K48" s="6">
        <v>46238</v>
      </c>
      <c r="L48" s="6">
        <v>46238</v>
      </c>
      <c r="M48" s="7">
        <v>1</v>
      </c>
      <c r="N48" s="5" t="s">
        <v>32</v>
      </c>
      <c r="O48" s="8">
        <f t="shared" si="1"/>
        <v>0</v>
      </c>
      <c r="P48" s="4"/>
      <c r="Q48" s="4" t="s">
        <v>359</v>
      </c>
      <c r="R48" s="4" t="s">
        <v>318</v>
      </c>
    </row>
    <row r="49" spans="1:18" ht="46.65" customHeight="1">
      <c r="A49" s="5" t="s">
        <v>360</v>
      </c>
      <c r="B49" s="5" t="s">
        <v>104</v>
      </c>
      <c r="C49" s="5" t="s">
        <v>310</v>
      </c>
      <c r="D49" s="5" t="s">
        <v>361</v>
      </c>
      <c r="E49" s="4" t="s">
        <v>362</v>
      </c>
      <c r="F49" s="5" t="s">
        <v>363</v>
      </c>
      <c r="G49" s="5" t="s">
        <v>33</v>
      </c>
      <c r="H49" s="5" t="s">
        <v>314</v>
      </c>
      <c r="I49" s="5" t="s">
        <v>364</v>
      </c>
      <c r="J49" s="5" t="s">
        <v>365</v>
      </c>
      <c r="K49" s="6">
        <v>46241</v>
      </c>
      <c r="L49" s="6">
        <v>46244</v>
      </c>
      <c r="M49" s="7">
        <v>1.5</v>
      </c>
      <c r="N49" s="5" t="s">
        <v>32</v>
      </c>
      <c r="O49" s="8">
        <f t="shared" si="1"/>
        <v>0</v>
      </c>
      <c r="P49" s="4"/>
      <c r="Q49" s="4" t="s">
        <v>366</v>
      </c>
      <c r="R49" s="4" t="s">
        <v>318</v>
      </c>
    </row>
    <row r="50" spans="1:18" ht="46.65" customHeight="1">
      <c r="A50" s="5" t="s">
        <v>367</v>
      </c>
      <c r="B50" s="5" t="s">
        <v>104</v>
      </c>
      <c r="C50" s="5" t="s">
        <v>310</v>
      </c>
      <c r="D50" s="5" t="s">
        <v>361</v>
      </c>
      <c r="E50" s="4" t="s">
        <v>368</v>
      </c>
      <c r="F50" s="5" t="s">
        <v>369</v>
      </c>
      <c r="G50" s="5" t="s">
        <v>33</v>
      </c>
      <c r="H50" s="5" t="s">
        <v>314</v>
      </c>
      <c r="I50" s="5" t="s">
        <v>364</v>
      </c>
      <c r="J50" s="5" t="s">
        <v>370</v>
      </c>
      <c r="K50" s="6">
        <v>46248</v>
      </c>
      <c r="L50" s="6">
        <v>46251</v>
      </c>
      <c r="M50" s="7">
        <v>1.5</v>
      </c>
      <c r="N50" s="5" t="s">
        <v>32</v>
      </c>
      <c r="O50" s="8">
        <f t="shared" si="1"/>
        <v>0</v>
      </c>
      <c r="P50" s="4"/>
      <c r="Q50" s="4" t="s">
        <v>371</v>
      </c>
      <c r="R50" s="4" t="s">
        <v>318</v>
      </c>
    </row>
    <row r="51" spans="1:18" ht="46.65" customHeight="1">
      <c r="A51" s="5" t="s">
        <v>372</v>
      </c>
      <c r="B51" s="5" t="s">
        <v>104</v>
      </c>
      <c r="C51" s="5" t="s">
        <v>310</v>
      </c>
      <c r="D51" s="5" t="s">
        <v>373</v>
      </c>
      <c r="E51" s="4" t="s">
        <v>374</v>
      </c>
      <c r="F51" s="5" t="s">
        <v>375</v>
      </c>
      <c r="G51" s="5" t="s">
        <v>36</v>
      </c>
      <c r="H51" s="5" t="s">
        <v>131</v>
      </c>
      <c r="I51" s="5" t="s">
        <v>376</v>
      </c>
      <c r="J51" s="5" t="s">
        <v>377</v>
      </c>
      <c r="K51" s="6">
        <v>46252</v>
      </c>
      <c r="L51" s="6">
        <v>46252</v>
      </c>
      <c r="M51" s="7">
        <v>1</v>
      </c>
      <c r="N51" s="5" t="s">
        <v>32</v>
      </c>
      <c r="O51" s="8">
        <f t="shared" si="1"/>
        <v>0</v>
      </c>
      <c r="P51" s="4"/>
      <c r="Q51" s="4" t="s">
        <v>378</v>
      </c>
      <c r="R51" s="4" t="s">
        <v>318</v>
      </c>
    </row>
    <row r="52" spans="1:18" ht="46.65" customHeight="1">
      <c r="A52" s="5" t="s">
        <v>379</v>
      </c>
      <c r="B52" s="5" t="s">
        <v>104</v>
      </c>
      <c r="C52" s="5" t="s">
        <v>310</v>
      </c>
      <c r="D52" s="5" t="s">
        <v>380</v>
      </c>
      <c r="E52" s="4" t="s">
        <v>381</v>
      </c>
      <c r="F52" s="5" t="s">
        <v>382</v>
      </c>
      <c r="G52" s="5" t="s">
        <v>34</v>
      </c>
      <c r="H52" s="5" t="s">
        <v>342</v>
      </c>
      <c r="I52" s="5" t="s">
        <v>383</v>
      </c>
      <c r="J52" s="5" t="s">
        <v>384</v>
      </c>
      <c r="K52" s="6">
        <v>46226</v>
      </c>
      <c r="L52" s="6">
        <v>46227</v>
      </c>
      <c r="M52" s="7">
        <v>1.5</v>
      </c>
      <c r="N52" s="5" t="s">
        <v>15</v>
      </c>
      <c r="O52" s="8">
        <f t="shared" si="1"/>
        <v>0.5</v>
      </c>
      <c r="P52" s="4"/>
      <c r="Q52" s="4" t="s">
        <v>385</v>
      </c>
      <c r="R52" s="4" t="s">
        <v>318</v>
      </c>
    </row>
    <row r="53" spans="1:18" ht="46.65" customHeight="1">
      <c r="A53" s="5" t="s">
        <v>386</v>
      </c>
      <c r="B53" s="5" t="s">
        <v>104</v>
      </c>
      <c r="C53" s="5" t="s">
        <v>387</v>
      </c>
      <c r="D53" s="5" t="s">
        <v>388</v>
      </c>
      <c r="E53" s="4" t="s">
        <v>389</v>
      </c>
      <c r="F53" s="5" t="s">
        <v>390</v>
      </c>
      <c r="G53" s="5" t="s">
        <v>36</v>
      </c>
      <c r="H53" s="5" t="s">
        <v>131</v>
      </c>
      <c r="I53" s="33" t="s">
        <v>488</v>
      </c>
      <c r="J53" s="5" t="s">
        <v>391</v>
      </c>
      <c r="K53" s="6">
        <v>46255</v>
      </c>
      <c r="L53" s="6">
        <v>46258</v>
      </c>
      <c r="M53" s="7">
        <v>2</v>
      </c>
      <c r="N53" s="5" t="s">
        <v>32</v>
      </c>
      <c r="O53" s="8">
        <f t="shared" si="1"/>
        <v>0</v>
      </c>
      <c r="P53" s="4"/>
      <c r="Q53" s="4" t="s">
        <v>392</v>
      </c>
      <c r="R53" s="4" t="s">
        <v>393</v>
      </c>
    </row>
    <row r="54" spans="1:18" ht="46.65" customHeight="1">
      <c r="A54" s="5" t="s">
        <v>394</v>
      </c>
      <c r="B54" s="5" t="s">
        <v>104</v>
      </c>
      <c r="C54" s="5" t="s">
        <v>387</v>
      </c>
      <c r="D54" s="5" t="s">
        <v>395</v>
      </c>
      <c r="E54" s="4" t="s">
        <v>396</v>
      </c>
      <c r="F54" s="5" t="s">
        <v>397</v>
      </c>
      <c r="G54" s="5" t="s">
        <v>36</v>
      </c>
      <c r="H54" s="5" t="s">
        <v>131</v>
      </c>
      <c r="I54" s="5" t="s">
        <v>147</v>
      </c>
      <c r="J54" s="5" t="s">
        <v>398</v>
      </c>
      <c r="K54" s="6">
        <v>46259</v>
      </c>
      <c r="L54" s="6">
        <v>46260</v>
      </c>
      <c r="M54" s="7">
        <v>2</v>
      </c>
      <c r="N54" s="5" t="s">
        <v>32</v>
      </c>
      <c r="O54" s="8">
        <f t="shared" si="1"/>
        <v>0</v>
      </c>
      <c r="P54" s="4"/>
      <c r="Q54" s="4" t="s">
        <v>399</v>
      </c>
      <c r="R54" s="4" t="s">
        <v>393</v>
      </c>
    </row>
    <row r="55" spans="1:18" ht="46.65" customHeight="1">
      <c r="A55" s="5" t="s">
        <v>400</v>
      </c>
      <c r="B55" s="5" t="s">
        <v>104</v>
      </c>
      <c r="C55" s="5" t="s">
        <v>387</v>
      </c>
      <c r="D55" s="5" t="s">
        <v>395</v>
      </c>
      <c r="E55" s="4" t="s">
        <v>401</v>
      </c>
      <c r="F55" s="5" t="s">
        <v>402</v>
      </c>
      <c r="G55" s="5" t="s">
        <v>40</v>
      </c>
      <c r="H55" s="5" t="s">
        <v>147</v>
      </c>
      <c r="I55" s="5" t="s">
        <v>403</v>
      </c>
      <c r="J55" s="5" t="s">
        <v>404</v>
      </c>
      <c r="K55" s="6">
        <v>46259</v>
      </c>
      <c r="L55" s="6">
        <v>46260</v>
      </c>
      <c r="M55" s="7">
        <v>2</v>
      </c>
      <c r="N55" s="5" t="s">
        <v>32</v>
      </c>
      <c r="O55" s="8">
        <f t="shared" si="1"/>
        <v>0</v>
      </c>
      <c r="P55" s="4"/>
      <c r="Q55" s="4" t="s">
        <v>405</v>
      </c>
      <c r="R55" s="4" t="s">
        <v>393</v>
      </c>
    </row>
    <row r="56" spans="1:18" ht="46.65" customHeight="1">
      <c r="A56" s="5" t="s">
        <v>406</v>
      </c>
      <c r="B56" s="5" t="s">
        <v>104</v>
      </c>
      <c r="C56" s="5" t="s">
        <v>387</v>
      </c>
      <c r="D56" s="5" t="s">
        <v>395</v>
      </c>
      <c r="E56" s="4" t="s">
        <v>407</v>
      </c>
      <c r="F56" s="5" t="s">
        <v>408</v>
      </c>
      <c r="G56" s="5" t="s">
        <v>38</v>
      </c>
      <c r="H56" s="5" t="s">
        <v>139</v>
      </c>
      <c r="I56" s="5" t="s">
        <v>147</v>
      </c>
      <c r="J56" s="5" t="s">
        <v>409</v>
      </c>
      <c r="K56" s="6">
        <v>46261</v>
      </c>
      <c r="L56" s="6">
        <v>46262</v>
      </c>
      <c r="M56" s="7">
        <v>1.5</v>
      </c>
      <c r="N56" s="5" t="s">
        <v>32</v>
      </c>
      <c r="O56" s="8">
        <f t="shared" si="1"/>
        <v>0</v>
      </c>
      <c r="P56" s="4"/>
      <c r="Q56" s="4" t="s">
        <v>410</v>
      </c>
      <c r="R56" s="4" t="s">
        <v>393</v>
      </c>
    </row>
    <row r="57" spans="1:18" ht="46.65" customHeight="1">
      <c r="A57" s="5" t="s">
        <v>411</v>
      </c>
      <c r="B57" s="5" t="s">
        <v>104</v>
      </c>
      <c r="C57" s="5" t="s">
        <v>387</v>
      </c>
      <c r="D57" s="5" t="s">
        <v>395</v>
      </c>
      <c r="E57" s="4" t="s">
        <v>412</v>
      </c>
      <c r="F57" s="5" t="s">
        <v>413</v>
      </c>
      <c r="G57" s="5" t="s">
        <v>40</v>
      </c>
      <c r="H57" s="5" t="s">
        <v>147</v>
      </c>
      <c r="I57" s="5" t="s">
        <v>414</v>
      </c>
      <c r="J57" s="5" t="s">
        <v>415</v>
      </c>
      <c r="K57" s="6">
        <v>46259</v>
      </c>
      <c r="L57" s="6">
        <v>46260</v>
      </c>
      <c r="M57" s="7">
        <v>1.5</v>
      </c>
      <c r="N57" s="5" t="s">
        <v>32</v>
      </c>
      <c r="O57" s="8">
        <f t="shared" si="1"/>
        <v>0</v>
      </c>
      <c r="P57" s="4"/>
      <c r="Q57" s="4" t="s">
        <v>416</v>
      </c>
      <c r="R57" s="4" t="s">
        <v>393</v>
      </c>
    </row>
    <row r="58" spans="1:18" ht="46.65" customHeight="1">
      <c r="A58" s="5" t="s">
        <v>417</v>
      </c>
      <c r="B58" s="5" t="s">
        <v>104</v>
      </c>
      <c r="C58" s="5" t="s">
        <v>387</v>
      </c>
      <c r="D58" s="5" t="s">
        <v>395</v>
      </c>
      <c r="E58" s="4" t="s">
        <v>418</v>
      </c>
      <c r="F58" s="5" t="s">
        <v>419</v>
      </c>
      <c r="G58" s="5" t="s">
        <v>40</v>
      </c>
      <c r="H58" s="5" t="s">
        <v>147</v>
      </c>
      <c r="I58" s="5" t="s">
        <v>414</v>
      </c>
      <c r="J58" s="5" t="s">
        <v>420</v>
      </c>
      <c r="K58" s="6">
        <v>46261</v>
      </c>
      <c r="L58" s="6">
        <v>46262</v>
      </c>
      <c r="M58" s="7">
        <v>2</v>
      </c>
      <c r="N58" s="5" t="s">
        <v>32</v>
      </c>
      <c r="O58" s="8">
        <f t="shared" si="1"/>
        <v>0</v>
      </c>
      <c r="P58" s="4"/>
      <c r="Q58" s="4" t="s">
        <v>421</v>
      </c>
      <c r="R58" s="4" t="s">
        <v>393</v>
      </c>
    </row>
    <row r="59" spans="1:18" ht="46.65" customHeight="1">
      <c r="A59" s="5" t="s">
        <v>422</v>
      </c>
      <c r="B59" s="5" t="s">
        <v>104</v>
      </c>
      <c r="C59" s="5" t="s">
        <v>387</v>
      </c>
      <c r="D59" s="5" t="s">
        <v>423</v>
      </c>
      <c r="E59" s="4" t="s">
        <v>424</v>
      </c>
      <c r="F59" s="5" t="s">
        <v>425</v>
      </c>
      <c r="G59" s="5" t="s">
        <v>31</v>
      </c>
      <c r="H59" s="5" t="s">
        <v>109</v>
      </c>
      <c r="I59" s="5" t="s">
        <v>426</v>
      </c>
      <c r="J59" s="5" t="s">
        <v>427</v>
      </c>
      <c r="K59" s="6">
        <v>46238</v>
      </c>
      <c r="L59" s="6">
        <v>46238</v>
      </c>
      <c r="M59" s="7">
        <v>1</v>
      </c>
      <c r="N59" s="5" t="s">
        <v>32</v>
      </c>
      <c r="O59" s="8">
        <f t="shared" si="1"/>
        <v>0</v>
      </c>
      <c r="P59" s="4"/>
      <c r="Q59" s="4" t="s">
        <v>428</v>
      </c>
      <c r="R59" s="4" t="s">
        <v>393</v>
      </c>
    </row>
    <row r="60" spans="1:18" ht="46.65" customHeight="1">
      <c r="A60" s="5" t="s">
        <v>429</v>
      </c>
      <c r="B60" s="5" t="s">
        <v>104</v>
      </c>
      <c r="C60" s="5" t="s">
        <v>387</v>
      </c>
      <c r="D60" s="5" t="s">
        <v>430</v>
      </c>
      <c r="E60" s="4" t="s">
        <v>431</v>
      </c>
      <c r="F60" s="5" t="s">
        <v>196</v>
      </c>
      <c r="G60" s="5" t="s">
        <v>40</v>
      </c>
      <c r="H60" s="5" t="s">
        <v>147</v>
      </c>
      <c r="I60" s="5" t="s">
        <v>432</v>
      </c>
      <c r="J60" s="5" t="s">
        <v>487</v>
      </c>
      <c r="K60" s="6">
        <v>46265</v>
      </c>
      <c r="L60" s="6">
        <v>46266</v>
      </c>
      <c r="M60" s="7">
        <v>2</v>
      </c>
      <c r="N60" s="5" t="s">
        <v>32</v>
      </c>
      <c r="O60" s="8">
        <f t="shared" si="1"/>
        <v>0</v>
      </c>
      <c r="P60" s="4"/>
      <c r="Q60" s="4" t="s">
        <v>433</v>
      </c>
      <c r="R60" s="4" t="s">
        <v>393</v>
      </c>
    </row>
    <row r="61" spans="1:18" ht="46.65" customHeight="1">
      <c r="A61" s="5" t="s">
        <v>434</v>
      </c>
      <c r="B61" s="5" t="s">
        <v>104</v>
      </c>
      <c r="C61" s="5" t="s">
        <v>387</v>
      </c>
      <c r="D61" s="5" t="s">
        <v>435</v>
      </c>
      <c r="E61" s="4" t="s">
        <v>436</v>
      </c>
      <c r="F61" s="5" t="s">
        <v>437</v>
      </c>
      <c r="G61" s="5" t="s">
        <v>31</v>
      </c>
      <c r="H61" s="5" t="s">
        <v>109</v>
      </c>
      <c r="I61" s="5" t="s">
        <v>403</v>
      </c>
      <c r="J61" s="5" t="s">
        <v>438</v>
      </c>
      <c r="K61" s="6">
        <v>46267</v>
      </c>
      <c r="L61" s="6">
        <v>46267</v>
      </c>
      <c r="M61" s="7">
        <v>2</v>
      </c>
      <c r="N61" s="5" t="s">
        <v>32</v>
      </c>
      <c r="O61" s="8">
        <f t="shared" si="1"/>
        <v>0</v>
      </c>
      <c r="P61" s="4"/>
      <c r="Q61" s="4" t="s">
        <v>439</v>
      </c>
      <c r="R61" s="4" t="s">
        <v>393</v>
      </c>
    </row>
    <row r="62" spans="1:18" ht="46.65" customHeight="1">
      <c r="A62" s="5" t="s">
        <v>440</v>
      </c>
      <c r="B62" s="5" t="s">
        <v>104</v>
      </c>
      <c r="C62" s="5" t="s">
        <v>387</v>
      </c>
      <c r="D62" s="5" t="s">
        <v>441</v>
      </c>
      <c r="E62" s="4" t="s">
        <v>442</v>
      </c>
      <c r="F62" s="5" t="s">
        <v>443</v>
      </c>
      <c r="G62" s="5" t="s">
        <v>36</v>
      </c>
      <c r="H62" s="5" t="s">
        <v>131</v>
      </c>
      <c r="I62" s="5" t="s">
        <v>383</v>
      </c>
      <c r="J62" s="5" t="s">
        <v>486</v>
      </c>
      <c r="K62" s="6">
        <v>46253</v>
      </c>
      <c r="L62" s="6">
        <v>46253</v>
      </c>
      <c r="M62" s="7">
        <v>0.5</v>
      </c>
      <c r="N62" s="5" t="s">
        <v>32</v>
      </c>
      <c r="O62" s="8">
        <f t="shared" si="1"/>
        <v>0</v>
      </c>
      <c r="P62" s="4"/>
      <c r="Q62" s="4" t="s">
        <v>444</v>
      </c>
      <c r="R62" s="4" t="s">
        <v>393</v>
      </c>
    </row>
    <row r="63" spans="1:18" ht="46.65" customHeight="1">
      <c r="A63" s="5" t="s">
        <v>445</v>
      </c>
      <c r="B63" s="5" t="s">
        <v>13</v>
      </c>
      <c r="C63" s="5" t="s">
        <v>446</v>
      </c>
      <c r="D63" s="5" t="s">
        <v>447</v>
      </c>
      <c r="E63" s="4" t="s">
        <v>448</v>
      </c>
      <c r="F63" s="5" t="s">
        <v>449</v>
      </c>
      <c r="G63" s="5" t="s">
        <v>34</v>
      </c>
      <c r="H63" s="5" t="s">
        <v>342</v>
      </c>
      <c r="I63" s="5" t="s">
        <v>450</v>
      </c>
      <c r="J63" s="5" t="s">
        <v>386</v>
      </c>
      <c r="K63" s="6">
        <v>46272</v>
      </c>
      <c r="L63" s="6">
        <v>46272</v>
      </c>
      <c r="M63" s="7">
        <v>0.5</v>
      </c>
      <c r="N63" s="5" t="s">
        <v>32</v>
      </c>
      <c r="O63" s="8">
        <f t="shared" si="1"/>
        <v>0</v>
      </c>
      <c r="P63" s="4"/>
      <c r="Q63" s="4" t="s">
        <v>451</v>
      </c>
      <c r="R63" s="4" t="s">
        <v>452</v>
      </c>
    </row>
    <row r="64" spans="1:18" ht="46.65" customHeight="1">
      <c r="A64" s="5" t="s">
        <v>453</v>
      </c>
      <c r="B64" s="5" t="s">
        <v>13</v>
      </c>
      <c r="C64" s="5" t="s">
        <v>446</v>
      </c>
      <c r="D64" s="5" t="s">
        <v>447</v>
      </c>
      <c r="E64" s="4" t="s">
        <v>454</v>
      </c>
      <c r="F64" s="5" t="s">
        <v>455</v>
      </c>
      <c r="G64" s="5" t="s">
        <v>34</v>
      </c>
      <c r="H64" s="5" t="s">
        <v>342</v>
      </c>
      <c r="I64" s="5" t="s">
        <v>450</v>
      </c>
      <c r="J64" s="5" t="s">
        <v>445</v>
      </c>
      <c r="K64" s="6">
        <v>46269</v>
      </c>
      <c r="L64" s="6">
        <v>46269</v>
      </c>
      <c r="M64" s="7">
        <v>0.5</v>
      </c>
      <c r="N64" s="5" t="s">
        <v>32</v>
      </c>
      <c r="O64" s="8">
        <f t="shared" si="1"/>
        <v>0</v>
      </c>
      <c r="P64" s="4"/>
      <c r="Q64" s="4" t="s">
        <v>456</v>
      </c>
      <c r="R64" s="4" t="s">
        <v>452</v>
      </c>
    </row>
    <row r="65" spans="1:18" ht="46.65" customHeight="1">
      <c r="A65" s="5" t="s">
        <v>457</v>
      </c>
      <c r="B65" s="5" t="s">
        <v>13</v>
      </c>
      <c r="C65" s="5" t="s">
        <v>446</v>
      </c>
      <c r="D65" s="5" t="s">
        <v>447</v>
      </c>
      <c r="E65" s="4" t="s">
        <v>458</v>
      </c>
      <c r="F65" s="5" t="s">
        <v>459</v>
      </c>
      <c r="G65" s="5" t="s">
        <v>34</v>
      </c>
      <c r="H65" s="5" t="s">
        <v>342</v>
      </c>
      <c r="I65" s="5" t="s">
        <v>450</v>
      </c>
      <c r="J65" s="5" t="s">
        <v>445</v>
      </c>
      <c r="K65" s="6">
        <v>46269</v>
      </c>
      <c r="L65" s="6">
        <v>46269</v>
      </c>
      <c r="M65" s="7">
        <v>0.5</v>
      </c>
      <c r="N65" s="5" t="s">
        <v>32</v>
      </c>
      <c r="O65" s="8">
        <f t="shared" si="1"/>
        <v>0</v>
      </c>
      <c r="P65" s="4"/>
      <c r="Q65" s="4" t="s">
        <v>460</v>
      </c>
      <c r="R65" s="4" t="s">
        <v>452</v>
      </c>
    </row>
    <row r="66" spans="1:18" ht="46.65" customHeight="1">
      <c r="A66" s="5" t="s">
        <v>461</v>
      </c>
      <c r="B66" s="5" t="s">
        <v>13</v>
      </c>
      <c r="C66" s="5" t="s">
        <v>446</v>
      </c>
      <c r="D66" s="5" t="s">
        <v>462</v>
      </c>
      <c r="E66" s="4" t="s">
        <v>463</v>
      </c>
      <c r="F66" s="5" t="s">
        <v>464</v>
      </c>
      <c r="G66" s="5" t="s">
        <v>34</v>
      </c>
      <c r="H66" s="5" t="s">
        <v>342</v>
      </c>
      <c r="I66" s="5" t="s">
        <v>450</v>
      </c>
      <c r="J66" s="5" t="s">
        <v>465</v>
      </c>
      <c r="K66" s="6">
        <v>46273</v>
      </c>
      <c r="L66" s="6">
        <v>46273</v>
      </c>
      <c r="M66" s="7">
        <v>0.5</v>
      </c>
      <c r="N66" s="5" t="s">
        <v>32</v>
      </c>
      <c r="O66" s="8">
        <f t="shared" si="1"/>
        <v>0</v>
      </c>
      <c r="P66" s="4"/>
      <c r="Q66" s="4" t="s">
        <v>466</v>
      </c>
      <c r="R66" s="4" t="s">
        <v>452</v>
      </c>
    </row>
    <row r="67" spans="1:18" ht="46.65" customHeight="1">
      <c r="A67" s="5" t="s">
        <v>467</v>
      </c>
      <c r="B67" s="5" t="s">
        <v>13</v>
      </c>
      <c r="C67" s="5" t="s">
        <v>446</v>
      </c>
      <c r="D67" s="5" t="s">
        <v>468</v>
      </c>
      <c r="E67" s="4" t="s">
        <v>469</v>
      </c>
      <c r="F67" s="5" t="s">
        <v>470</v>
      </c>
      <c r="G67" s="5" t="s">
        <v>38</v>
      </c>
      <c r="H67" s="5" t="s">
        <v>139</v>
      </c>
      <c r="I67" s="5" t="s">
        <v>147</v>
      </c>
      <c r="J67" s="5" t="s">
        <v>471</v>
      </c>
      <c r="K67" s="6">
        <v>46269</v>
      </c>
      <c r="L67" s="6">
        <v>46269</v>
      </c>
      <c r="M67" s="7">
        <v>0.5</v>
      </c>
      <c r="N67" s="5" t="s">
        <v>32</v>
      </c>
      <c r="O67" s="8">
        <f t="shared" si="1"/>
        <v>0</v>
      </c>
      <c r="P67" s="4"/>
      <c r="Q67" s="4" t="s">
        <v>472</v>
      </c>
      <c r="R67" s="4" t="s">
        <v>452</v>
      </c>
    </row>
    <row r="68" spans="1:18" ht="46.65" customHeight="1">
      <c r="A68" s="5" t="s">
        <v>473</v>
      </c>
      <c r="B68" s="5" t="s">
        <v>13</v>
      </c>
      <c r="C68" s="5" t="s">
        <v>446</v>
      </c>
      <c r="D68" s="5" t="s">
        <v>474</v>
      </c>
      <c r="E68" s="4" t="s">
        <v>475</v>
      </c>
      <c r="F68" s="5" t="s">
        <v>476</v>
      </c>
      <c r="G68" s="5" t="s">
        <v>36</v>
      </c>
      <c r="H68" s="5" t="s">
        <v>131</v>
      </c>
      <c r="I68" s="5" t="s">
        <v>147</v>
      </c>
      <c r="J68" s="5" t="s">
        <v>417</v>
      </c>
      <c r="K68" s="6">
        <v>46272</v>
      </c>
      <c r="L68" s="6">
        <v>46272</v>
      </c>
      <c r="M68" s="7">
        <v>0.5</v>
      </c>
      <c r="N68" s="5" t="s">
        <v>32</v>
      </c>
      <c r="O68" s="8">
        <f t="shared" si="1"/>
        <v>0</v>
      </c>
      <c r="P68" s="4"/>
      <c r="Q68" s="4" t="s">
        <v>477</v>
      </c>
      <c r="R68" s="4" t="s">
        <v>452</v>
      </c>
    </row>
    <row r="69" spans="1:18" ht="46.65" customHeight="1">
      <c r="A69" s="5" t="s">
        <v>478</v>
      </c>
      <c r="B69" s="5" t="s">
        <v>13</v>
      </c>
      <c r="C69" s="5" t="s">
        <v>446</v>
      </c>
      <c r="D69" s="5" t="s">
        <v>479</v>
      </c>
      <c r="E69" s="4" t="s">
        <v>480</v>
      </c>
      <c r="F69" s="5" t="s">
        <v>481</v>
      </c>
      <c r="G69" s="5" t="s">
        <v>31</v>
      </c>
      <c r="H69" s="5" t="s">
        <v>109</v>
      </c>
      <c r="I69" s="5" t="s">
        <v>403</v>
      </c>
      <c r="J69" s="5" t="s">
        <v>482</v>
      </c>
      <c r="K69" s="6">
        <v>46274</v>
      </c>
      <c r="L69" s="6">
        <v>46274</v>
      </c>
      <c r="M69" s="7">
        <v>0.5</v>
      </c>
      <c r="N69" s="5" t="s">
        <v>32</v>
      </c>
      <c r="O69" s="8">
        <f t="shared" ref="O69:O100" si="2">IF(N69="완료",1,IF(N69="진행 중",0.5,IF(N69="보류",0.25,0)))</f>
        <v>0</v>
      </c>
      <c r="P69" s="4"/>
      <c r="Q69" s="4" t="s">
        <v>483</v>
      </c>
      <c r="R69" s="4" t="s">
        <v>452</v>
      </c>
    </row>
  </sheetData>
  <mergeCells count="2">
    <mergeCell ref="A1:R1"/>
    <mergeCell ref="A2:R2"/>
  </mergeCells>
  <phoneticPr fontId="14" type="noConversion"/>
  <conditionalFormatting sqref="B5:B69">
    <cfRule type="expression" dxfId="5" priority="5">
      <formula>B5="P0"</formula>
    </cfRule>
    <cfRule type="expression" dxfId="4" priority="6">
      <formula>B5="P1"</formula>
    </cfRule>
  </conditionalFormatting>
  <conditionalFormatting sqref="N5:N69">
    <cfRule type="expression" dxfId="3" priority="1">
      <formula>N5="완료"</formula>
    </cfRule>
    <cfRule type="expression" dxfId="2" priority="2">
      <formula>N5="진행 중"</formula>
    </cfRule>
    <cfRule type="expression" dxfId="1" priority="3">
      <formula>N5="보류"</formula>
    </cfRule>
    <cfRule type="expression" dxfId="0" priority="4">
      <formula>N5="차단"</formula>
    </cfRule>
  </conditionalFormatting>
  <conditionalFormatting sqref="O5:O69">
    <cfRule type="dataBar" priority="7">
      <dataBar>
        <cfvo type="min"/>
        <cfvo type="max"/>
        <color rgb="FF5B9BD5"/>
      </dataBar>
    </cfRule>
    <cfRule type="dataBar" priority="8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{9246927F-98B5-AFB3-8105-A41B6828E38C}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46927F-98B5-AFB3-8105-A41B6828E38C}">
            <x14:dataBar>
              <x14:cfvo type="min"/>
              <x14:cfvo type="max"/>
              <x14:negativeFillColor auto="1"/>
              <x14:axisColor auto="1"/>
            </x14:dataBar>
          </x14:cfRule>
          <xm:sqref>O5:O69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100-000000000000}">
          <x14:formula1>
            <xm:f>코드목록!$B$2:$B$3</xm:f>
          </x14:formula1>
          <xm:sqref>B5:B69</xm:sqref>
        </x14:dataValidation>
        <x14:dataValidation type="list" xr:uid="{00000000-0002-0000-0100-000001000000}">
          <x14:formula1>
            <xm:f>코드목록!$C$2:$C$7</xm:f>
          </x14:formula1>
          <xm:sqref>G5:G69</xm:sqref>
        </x14:dataValidation>
        <x14:dataValidation type="list" xr:uid="{00000000-0002-0000-0100-000002000000}">
          <x14:formula1>
            <xm:f>코드목록!$D$2:$D$7</xm:f>
          </x14:formula1>
          <xm:sqref>H5:H69</xm:sqref>
        </x14:dataValidation>
        <x14:dataValidation type="list" xr:uid="{00000000-0002-0000-0100-000003000000}">
          <x14:formula1>
            <xm:f>코드목록!$A$2:$A$6</xm:f>
          </x14:formula1>
          <xm:sqref>N5:N69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K69"/>
  <sheetViews>
    <sheetView tabSelected="1" topLeftCell="A45" zoomScale="70" zoomScaleNormal="70" workbookViewId="0">
      <selection activeCell="BB61" sqref="BB61:BC61"/>
    </sheetView>
  </sheetViews>
  <sheetFormatPr defaultRowHeight="14"/>
  <cols>
    <col min="1" max="1" width="11" customWidth="1"/>
    <col min="2" max="2" width="8" customWidth="1"/>
    <col min="3" max="3" width="24" customWidth="1"/>
    <col min="4" max="4" width="22" customWidth="1"/>
    <col min="5" max="5" width="12" customWidth="1"/>
    <col min="6" max="6" width="11" customWidth="1"/>
    <col min="7" max="8" width="12" customWidth="1"/>
    <col min="9" max="63" width="4" customWidth="1"/>
  </cols>
  <sheetData>
    <row r="1" spans="1:63" ht="20" customHeight="1">
      <c r="A1" s="32" t="s">
        <v>484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</row>
    <row r="3" spans="1:63" ht="21.5">
      <c r="BE3" s="20" t="s">
        <v>11</v>
      </c>
    </row>
    <row r="4" spans="1:63" ht="22.65" customHeight="1">
      <c r="A4" s="13" t="s">
        <v>88</v>
      </c>
      <c r="B4" s="13" t="s">
        <v>89</v>
      </c>
      <c r="C4" s="13" t="s">
        <v>91</v>
      </c>
      <c r="D4" s="13" t="s">
        <v>27</v>
      </c>
      <c r="E4" s="13" t="s">
        <v>94</v>
      </c>
      <c r="F4" s="13" t="s">
        <v>30</v>
      </c>
      <c r="G4" s="13" t="s">
        <v>97</v>
      </c>
      <c r="H4" s="13" t="s">
        <v>98</v>
      </c>
      <c r="I4" s="14">
        <v>46220</v>
      </c>
      <c r="J4" s="19">
        <v>46221</v>
      </c>
      <c r="K4" s="19">
        <v>46222</v>
      </c>
      <c r="L4" s="14">
        <v>46223</v>
      </c>
      <c r="M4" s="14">
        <v>46224</v>
      </c>
      <c r="N4" s="14">
        <v>46225</v>
      </c>
      <c r="O4" s="15">
        <v>46226</v>
      </c>
      <c r="P4" s="14">
        <v>46227</v>
      </c>
      <c r="Q4" s="19">
        <v>46228</v>
      </c>
      <c r="R4" s="19">
        <v>46229</v>
      </c>
      <c r="S4" s="14">
        <v>46230</v>
      </c>
      <c r="T4" s="14">
        <v>46231</v>
      </c>
      <c r="U4" s="14">
        <v>46232</v>
      </c>
      <c r="V4" s="14">
        <v>46233</v>
      </c>
      <c r="W4" s="14">
        <v>46234</v>
      </c>
      <c r="X4" s="19">
        <v>46235</v>
      </c>
      <c r="Y4" s="19">
        <v>46236</v>
      </c>
      <c r="Z4" s="14">
        <v>46237</v>
      </c>
      <c r="AA4" s="14">
        <v>46238</v>
      </c>
      <c r="AB4" s="14">
        <v>46239</v>
      </c>
      <c r="AC4" s="14">
        <v>46240</v>
      </c>
      <c r="AD4" s="14">
        <v>46241</v>
      </c>
      <c r="AE4" s="19">
        <v>46242</v>
      </c>
      <c r="AF4" s="19">
        <v>46243</v>
      </c>
      <c r="AG4" s="14">
        <v>46244</v>
      </c>
      <c r="AH4" s="14">
        <v>46245</v>
      </c>
      <c r="AI4" s="14">
        <v>46246</v>
      </c>
      <c r="AJ4" s="14">
        <v>46247</v>
      </c>
      <c r="AK4" s="14">
        <v>46248</v>
      </c>
      <c r="AL4" s="19">
        <v>46249</v>
      </c>
      <c r="AM4" s="19">
        <v>46250</v>
      </c>
      <c r="AN4" s="14">
        <v>46251</v>
      </c>
      <c r="AO4" s="14">
        <v>46252</v>
      </c>
      <c r="AP4" s="14">
        <v>46253</v>
      </c>
      <c r="AQ4" s="14">
        <v>46254</v>
      </c>
      <c r="AR4" s="14">
        <v>46255</v>
      </c>
      <c r="AS4" s="19">
        <v>46256</v>
      </c>
      <c r="AT4" s="19">
        <v>46257</v>
      </c>
      <c r="AU4" s="14">
        <v>46258</v>
      </c>
      <c r="AV4" s="14">
        <v>46259</v>
      </c>
      <c r="AW4" s="14">
        <v>46260</v>
      </c>
      <c r="AX4" s="14">
        <v>46261</v>
      </c>
      <c r="AY4" s="14">
        <v>46262</v>
      </c>
      <c r="AZ4" s="19">
        <v>46263</v>
      </c>
      <c r="BA4" s="19">
        <v>46264</v>
      </c>
      <c r="BB4" s="14">
        <v>46265</v>
      </c>
      <c r="BC4" s="14">
        <v>46266</v>
      </c>
      <c r="BD4" s="14">
        <v>46267</v>
      </c>
      <c r="BE4" s="21">
        <v>46268</v>
      </c>
      <c r="BF4" s="14">
        <v>46269</v>
      </c>
      <c r="BG4" s="19">
        <v>46270</v>
      </c>
      <c r="BH4" s="19">
        <v>46271</v>
      </c>
      <c r="BI4" s="14">
        <v>46272</v>
      </c>
      <c r="BJ4" s="14">
        <v>46273</v>
      </c>
      <c r="BK4" s="14">
        <v>46274</v>
      </c>
    </row>
    <row r="5" spans="1:63" ht="15.4" customHeight="1">
      <c r="A5" s="16" t="s">
        <v>103</v>
      </c>
      <c r="B5" s="16" t="s">
        <v>104</v>
      </c>
      <c r="C5" s="16" t="s">
        <v>106</v>
      </c>
      <c r="D5" s="16" t="s">
        <v>31</v>
      </c>
      <c r="E5" s="16" t="s">
        <v>109</v>
      </c>
      <c r="F5" s="16" t="s">
        <v>35</v>
      </c>
      <c r="G5" s="17">
        <v>46220</v>
      </c>
      <c r="H5" s="17">
        <v>46220</v>
      </c>
      <c r="I5" s="2"/>
    </row>
    <row r="6" spans="1:63" ht="15.4" customHeight="1">
      <c r="A6" s="16" t="s">
        <v>114</v>
      </c>
      <c r="B6" s="16" t="s">
        <v>104</v>
      </c>
      <c r="C6" s="16" t="s">
        <v>106</v>
      </c>
      <c r="D6" s="16" t="s">
        <v>31</v>
      </c>
      <c r="E6" s="16" t="s">
        <v>109</v>
      </c>
      <c r="F6" s="16" t="s">
        <v>35</v>
      </c>
      <c r="G6" s="17">
        <v>46224</v>
      </c>
      <c r="H6" s="17">
        <v>46224</v>
      </c>
      <c r="M6" s="2"/>
    </row>
    <row r="7" spans="1:63" ht="15.4" customHeight="1">
      <c r="A7" s="16" t="s">
        <v>118</v>
      </c>
      <c r="B7" s="16" t="s">
        <v>104</v>
      </c>
      <c r="C7" s="16" t="s">
        <v>106</v>
      </c>
      <c r="D7" s="16" t="s">
        <v>31</v>
      </c>
      <c r="E7" s="16" t="s">
        <v>109</v>
      </c>
      <c r="F7" s="16" t="s">
        <v>35</v>
      </c>
      <c r="G7" s="17">
        <v>46224</v>
      </c>
      <c r="H7" s="17">
        <v>46225</v>
      </c>
      <c r="M7" s="2"/>
      <c r="N7" s="2"/>
    </row>
    <row r="8" spans="1:63" ht="15.4" customHeight="1">
      <c r="A8" s="16" t="s">
        <v>123</v>
      </c>
      <c r="B8" s="16" t="s">
        <v>104</v>
      </c>
      <c r="C8" s="16" t="s">
        <v>106</v>
      </c>
      <c r="D8" s="16" t="s">
        <v>31</v>
      </c>
      <c r="E8" s="16" t="s">
        <v>109</v>
      </c>
      <c r="F8" s="16" t="s">
        <v>35</v>
      </c>
      <c r="G8" s="17">
        <v>46223</v>
      </c>
      <c r="H8" s="17">
        <v>46224</v>
      </c>
      <c r="L8" s="2"/>
      <c r="M8" s="2"/>
    </row>
    <row r="9" spans="1:63" ht="15.4" customHeight="1">
      <c r="A9" s="16" t="s">
        <v>127</v>
      </c>
      <c r="B9" s="16" t="s">
        <v>104</v>
      </c>
      <c r="C9" s="16" t="s">
        <v>128</v>
      </c>
      <c r="D9" s="16" t="s">
        <v>36</v>
      </c>
      <c r="E9" s="16" t="s">
        <v>131</v>
      </c>
      <c r="F9" s="16" t="s">
        <v>15</v>
      </c>
      <c r="G9" s="17">
        <v>46225</v>
      </c>
      <c r="H9" s="17">
        <v>46226</v>
      </c>
      <c r="N9" s="2"/>
      <c r="O9" s="2"/>
    </row>
    <row r="10" spans="1:63" ht="15.4" customHeight="1">
      <c r="A10" s="16" t="s">
        <v>135</v>
      </c>
      <c r="B10" s="16" t="s">
        <v>104</v>
      </c>
      <c r="C10" s="16" t="s">
        <v>136</v>
      </c>
      <c r="D10" s="16" t="s">
        <v>38</v>
      </c>
      <c r="E10" s="16" t="s">
        <v>139</v>
      </c>
      <c r="F10" s="16" t="s">
        <v>15</v>
      </c>
      <c r="G10" s="17">
        <v>46225</v>
      </c>
      <c r="H10" s="17">
        <v>46226</v>
      </c>
      <c r="N10" s="2"/>
      <c r="O10" s="2"/>
    </row>
    <row r="11" spans="1:63" ht="15.4" customHeight="1">
      <c r="A11" s="16" t="s">
        <v>143</v>
      </c>
      <c r="B11" s="16" t="s">
        <v>104</v>
      </c>
      <c r="C11" s="16" t="s">
        <v>144</v>
      </c>
      <c r="D11" s="16" t="s">
        <v>40</v>
      </c>
      <c r="E11" s="16" t="s">
        <v>147</v>
      </c>
      <c r="F11" s="16" t="s">
        <v>15</v>
      </c>
      <c r="G11" s="17">
        <v>46226</v>
      </c>
      <c r="H11" s="17">
        <v>46227</v>
      </c>
      <c r="O11" s="2"/>
      <c r="P11" s="2"/>
    </row>
    <row r="12" spans="1:63" ht="15.4" customHeight="1">
      <c r="A12" s="16" t="s">
        <v>150</v>
      </c>
      <c r="B12" s="16" t="s">
        <v>104</v>
      </c>
      <c r="C12" s="16" t="s">
        <v>151</v>
      </c>
      <c r="D12" s="16" t="s">
        <v>40</v>
      </c>
      <c r="E12" s="16" t="s">
        <v>147</v>
      </c>
      <c r="F12" s="16" t="s">
        <v>35</v>
      </c>
      <c r="G12" s="17">
        <v>46220</v>
      </c>
      <c r="H12" s="17">
        <v>46220</v>
      </c>
      <c r="I12" s="2"/>
    </row>
    <row r="13" spans="1:63" ht="15.4" customHeight="1">
      <c r="A13" s="16" t="s">
        <v>156</v>
      </c>
      <c r="B13" s="16" t="s">
        <v>104</v>
      </c>
      <c r="C13" s="16" t="s">
        <v>151</v>
      </c>
      <c r="D13" s="16" t="s">
        <v>40</v>
      </c>
      <c r="E13" s="16" t="s">
        <v>147</v>
      </c>
      <c r="F13" s="16" t="s">
        <v>35</v>
      </c>
      <c r="G13" s="17">
        <v>46223</v>
      </c>
      <c r="H13" s="17">
        <v>46224</v>
      </c>
      <c r="L13" s="2"/>
      <c r="M13" s="2"/>
    </row>
    <row r="14" spans="1:63" ht="15.4" customHeight="1">
      <c r="A14" s="16" t="s">
        <v>161</v>
      </c>
      <c r="B14" s="16" t="s">
        <v>104</v>
      </c>
      <c r="C14" s="16" t="s">
        <v>162</v>
      </c>
      <c r="D14" s="16" t="s">
        <v>40</v>
      </c>
      <c r="E14" s="16" t="s">
        <v>147</v>
      </c>
      <c r="F14" s="16" t="s">
        <v>35</v>
      </c>
      <c r="G14" s="17">
        <v>46223</v>
      </c>
      <c r="H14" s="17">
        <v>46225</v>
      </c>
      <c r="L14" s="2"/>
      <c r="M14" s="2"/>
      <c r="N14" s="2"/>
    </row>
    <row r="15" spans="1:63" ht="15.4" customHeight="1">
      <c r="A15" s="16" t="s">
        <v>166</v>
      </c>
      <c r="B15" s="16" t="s">
        <v>104</v>
      </c>
      <c r="C15" s="16" t="s">
        <v>162</v>
      </c>
      <c r="D15" s="16" t="s">
        <v>38</v>
      </c>
      <c r="E15" s="16" t="s">
        <v>139</v>
      </c>
      <c r="F15" s="16" t="s">
        <v>32</v>
      </c>
      <c r="G15" s="17">
        <v>46231</v>
      </c>
      <c r="H15" s="17">
        <v>46232</v>
      </c>
      <c r="T15" s="2"/>
      <c r="U15" s="2"/>
    </row>
    <row r="16" spans="1:63" ht="15.4" customHeight="1">
      <c r="A16" s="16" t="s">
        <v>170</v>
      </c>
      <c r="B16" s="16" t="s">
        <v>104</v>
      </c>
      <c r="C16" s="16" t="s">
        <v>162</v>
      </c>
      <c r="D16" s="16" t="s">
        <v>40</v>
      </c>
      <c r="E16" s="16" t="s">
        <v>147</v>
      </c>
      <c r="F16" s="16" t="s">
        <v>15</v>
      </c>
      <c r="G16" s="17">
        <v>46225</v>
      </c>
      <c r="H16" s="17">
        <v>46227</v>
      </c>
      <c r="N16" s="2"/>
      <c r="O16" s="2"/>
      <c r="P16" s="2"/>
    </row>
    <row r="17" spans="1:37" ht="15.4" customHeight="1">
      <c r="A17" s="16" t="s">
        <v>174</v>
      </c>
      <c r="B17" s="16" t="s">
        <v>104</v>
      </c>
      <c r="C17" s="16" t="s">
        <v>175</v>
      </c>
      <c r="D17" s="16" t="s">
        <v>40</v>
      </c>
      <c r="E17" s="16" t="s">
        <v>147</v>
      </c>
      <c r="F17" s="16" t="s">
        <v>15</v>
      </c>
      <c r="G17" s="17">
        <v>46225</v>
      </c>
      <c r="H17" s="17">
        <v>46227</v>
      </c>
      <c r="N17" s="2"/>
      <c r="O17" s="2"/>
      <c r="P17" s="2"/>
    </row>
    <row r="18" spans="1:37" ht="15.4" customHeight="1">
      <c r="A18" s="16" t="s">
        <v>180</v>
      </c>
      <c r="B18" s="16" t="s">
        <v>104</v>
      </c>
      <c r="C18" s="16" t="s">
        <v>175</v>
      </c>
      <c r="D18" s="16" t="s">
        <v>40</v>
      </c>
      <c r="E18" s="16" t="s">
        <v>147</v>
      </c>
      <c r="F18" s="16" t="s">
        <v>35</v>
      </c>
      <c r="G18" s="17">
        <v>46223</v>
      </c>
      <c r="H18" s="17">
        <v>46225</v>
      </c>
      <c r="L18" s="2"/>
      <c r="M18" s="2"/>
      <c r="N18" s="2"/>
    </row>
    <row r="19" spans="1:37" ht="15.4" customHeight="1">
      <c r="A19" s="16" t="s">
        <v>185</v>
      </c>
      <c r="B19" s="16" t="s">
        <v>104</v>
      </c>
      <c r="C19" s="16" t="s">
        <v>186</v>
      </c>
      <c r="D19" s="16" t="s">
        <v>38</v>
      </c>
      <c r="E19" s="16" t="s">
        <v>139</v>
      </c>
      <c r="F19" s="16" t="s">
        <v>15</v>
      </c>
      <c r="G19" s="17">
        <v>46225</v>
      </c>
      <c r="H19" s="17">
        <v>46230</v>
      </c>
      <c r="N19" s="2"/>
      <c r="O19" s="2"/>
      <c r="P19" s="2"/>
      <c r="Q19" s="2"/>
      <c r="R19" s="2"/>
      <c r="S19" s="2"/>
    </row>
    <row r="20" spans="1:37" ht="15.4" customHeight="1">
      <c r="A20" s="16" t="s">
        <v>192</v>
      </c>
      <c r="B20" s="16" t="s">
        <v>104</v>
      </c>
      <c r="C20" s="16" t="s">
        <v>194</v>
      </c>
      <c r="D20" s="16" t="s">
        <v>36</v>
      </c>
      <c r="E20" s="16" t="s">
        <v>131</v>
      </c>
      <c r="F20" s="16" t="s">
        <v>15</v>
      </c>
      <c r="G20" s="17">
        <v>46226</v>
      </c>
      <c r="H20" s="17">
        <v>46226</v>
      </c>
      <c r="O20" s="2"/>
    </row>
    <row r="21" spans="1:37" ht="15.4" customHeight="1">
      <c r="A21" s="16" t="s">
        <v>199</v>
      </c>
      <c r="B21" s="16" t="s">
        <v>104</v>
      </c>
      <c r="C21" s="16" t="s">
        <v>200</v>
      </c>
      <c r="D21" s="16" t="s">
        <v>36</v>
      </c>
      <c r="E21" s="16" t="s">
        <v>131</v>
      </c>
      <c r="F21" s="16" t="s">
        <v>32</v>
      </c>
      <c r="G21" s="17">
        <v>46227</v>
      </c>
      <c r="H21" s="17">
        <v>46230</v>
      </c>
      <c r="P21" s="2"/>
      <c r="Q21" s="2"/>
      <c r="R21" s="2"/>
      <c r="S21" s="2"/>
    </row>
    <row r="22" spans="1:37" ht="15.4" customHeight="1">
      <c r="A22" s="16" t="s">
        <v>205</v>
      </c>
      <c r="B22" s="16" t="s">
        <v>104</v>
      </c>
      <c r="C22" s="16" t="s">
        <v>206</v>
      </c>
      <c r="D22" s="16" t="s">
        <v>36</v>
      </c>
      <c r="E22" s="16" t="s">
        <v>131</v>
      </c>
      <c r="F22" s="16" t="s">
        <v>32</v>
      </c>
      <c r="G22" s="17">
        <v>46234</v>
      </c>
      <c r="H22" s="17">
        <v>46237</v>
      </c>
      <c r="W22" s="2"/>
      <c r="X22" s="2"/>
      <c r="Y22" s="2"/>
      <c r="Z22" s="2"/>
    </row>
    <row r="23" spans="1:37" ht="15.4" customHeight="1">
      <c r="A23" s="16" t="s">
        <v>211</v>
      </c>
      <c r="B23" s="16" t="s">
        <v>104</v>
      </c>
      <c r="C23" s="16" t="s">
        <v>212</v>
      </c>
      <c r="D23" s="16" t="s">
        <v>36</v>
      </c>
      <c r="E23" s="16" t="s">
        <v>131</v>
      </c>
      <c r="F23" s="16" t="s">
        <v>32</v>
      </c>
      <c r="G23" s="17">
        <v>46239</v>
      </c>
      <c r="H23" s="17">
        <v>46240</v>
      </c>
      <c r="AB23" s="2"/>
      <c r="AC23" s="2"/>
    </row>
    <row r="24" spans="1:37" ht="15.4" customHeight="1">
      <c r="A24" s="16" t="s">
        <v>216</v>
      </c>
      <c r="B24" s="16" t="s">
        <v>104</v>
      </c>
      <c r="C24" s="16" t="s">
        <v>212</v>
      </c>
      <c r="D24" s="16" t="s">
        <v>36</v>
      </c>
      <c r="E24" s="16" t="s">
        <v>131</v>
      </c>
      <c r="F24" s="16" t="s">
        <v>32</v>
      </c>
      <c r="G24" s="17">
        <v>46244</v>
      </c>
      <c r="H24" s="17">
        <v>46244</v>
      </c>
      <c r="AG24" s="2"/>
    </row>
    <row r="25" spans="1:37" ht="15.4" customHeight="1">
      <c r="A25" s="16" t="s">
        <v>221</v>
      </c>
      <c r="B25" s="16" t="s">
        <v>104</v>
      </c>
      <c r="C25" s="16" t="s">
        <v>222</v>
      </c>
      <c r="D25" s="16" t="s">
        <v>36</v>
      </c>
      <c r="E25" s="16" t="s">
        <v>131</v>
      </c>
      <c r="F25" s="16" t="s">
        <v>32</v>
      </c>
      <c r="G25" s="17">
        <v>46245</v>
      </c>
      <c r="H25" s="17">
        <v>46246</v>
      </c>
      <c r="AH25" s="2"/>
      <c r="AI25" s="2"/>
    </row>
    <row r="26" spans="1:37" ht="15.4" customHeight="1">
      <c r="A26" s="16" t="s">
        <v>227</v>
      </c>
      <c r="B26" s="16" t="s">
        <v>104</v>
      </c>
      <c r="C26" s="16" t="s">
        <v>228</v>
      </c>
      <c r="D26" s="16" t="s">
        <v>36</v>
      </c>
      <c r="E26" s="16" t="s">
        <v>131</v>
      </c>
      <c r="F26" s="16" t="s">
        <v>32</v>
      </c>
      <c r="G26" s="17">
        <v>46231</v>
      </c>
      <c r="H26" s="17">
        <v>46232</v>
      </c>
      <c r="T26" s="2"/>
      <c r="U26" s="2"/>
    </row>
    <row r="27" spans="1:37" ht="15.4" customHeight="1">
      <c r="A27" s="16" t="s">
        <v>232</v>
      </c>
      <c r="B27" s="16" t="s">
        <v>104</v>
      </c>
      <c r="C27" s="16" t="s">
        <v>228</v>
      </c>
      <c r="D27" s="16" t="s">
        <v>36</v>
      </c>
      <c r="E27" s="16" t="s">
        <v>131</v>
      </c>
      <c r="F27" s="16" t="s">
        <v>32</v>
      </c>
      <c r="G27" s="17">
        <v>46233</v>
      </c>
      <c r="H27" s="17">
        <v>46234</v>
      </c>
      <c r="V27" s="2"/>
      <c r="W27" s="2"/>
    </row>
    <row r="28" spans="1:37" ht="15.4" customHeight="1">
      <c r="A28" s="16" t="s">
        <v>237</v>
      </c>
      <c r="B28" s="16" t="s">
        <v>104</v>
      </c>
      <c r="C28" s="16" t="s">
        <v>238</v>
      </c>
      <c r="D28" s="16" t="s">
        <v>36</v>
      </c>
      <c r="E28" s="16" t="s">
        <v>131</v>
      </c>
      <c r="F28" s="16" t="s">
        <v>32</v>
      </c>
      <c r="G28" s="17">
        <v>46247</v>
      </c>
      <c r="H28" s="17">
        <v>46248</v>
      </c>
      <c r="AJ28" s="2"/>
      <c r="AK28" s="2"/>
    </row>
    <row r="29" spans="1:37" ht="15.4" customHeight="1">
      <c r="A29" s="16" t="s">
        <v>243</v>
      </c>
      <c r="B29" s="16" t="s">
        <v>104</v>
      </c>
      <c r="C29" s="16" t="s">
        <v>245</v>
      </c>
      <c r="D29" s="16" t="s">
        <v>38</v>
      </c>
      <c r="E29" s="16" t="s">
        <v>139</v>
      </c>
      <c r="F29" s="16" t="s">
        <v>32</v>
      </c>
      <c r="G29" s="17">
        <v>46233</v>
      </c>
      <c r="H29" s="17">
        <v>46234</v>
      </c>
      <c r="V29" s="2"/>
      <c r="W29" s="2"/>
    </row>
    <row r="30" spans="1:37" ht="15.4" customHeight="1">
      <c r="A30" s="16" t="s">
        <v>252</v>
      </c>
      <c r="B30" s="16" t="s">
        <v>104</v>
      </c>
      <c r="C30" s="16" t="s">
        <v>245</v>
      </c>
      <c r="D30" s="16" t="s">
        <v>38</v>
      </c>
      <c r="E30" s="16" t="s">
        <v>139</v>
      </c>
      <c r="F30" s="16" t="s">
        <v>32</v>
      </c>
      <c r="G30" s="17">
        <v>46240</v>
      </c>
      <c r="H30" s="17">
        <v>46241</v>
      </c>
      <c r="AC30" s="2"/>
      <c r="AD30" s="2"/>
    </row>
    <row r="31" spans="1:37" ht="15.4" customHeight="1">
      <c r="A31" s="16" t="s">
        <v>257</v>
      </c>
      <c r="B31" s="16" t="s">
        <v>104</v>
      </c>
      <c r="C31" s="16" t="s">
        <v>245</v>
      </c>
      <c r="D31" s="16" t="s">
        <v>38</v>
      </c>
      <c r="E31" s="16" t="s">
        <v>139</v>
      </c>
      <c r="F31" s="16" t="s">
        <v>32</v>
      </c>
      <c r="G31" s="17">
        <v>46244</v>
      </c>
      <c r="H31" s="17">
        <v>46245</v>
      </c>
      <c r="AG31" s="2"/>
      <c r="AH31" s="2"/>
    </row>
    <row r="32" spans="1:37" ht="15.4" customHeight="1">
      <c r="A32" s="16" t="s">
        <v>262</v>
      </c>
      <c r="B32" s="16" t="s">
        <v>104</v>
      </c>
      <c r="C32" s="16" t="s">
        <v>263</v>
      </c>
      <c r="D32" s="16" t="s">
        <v>38</v>
      </c>
      <c r="E32" s="16" t="s">
        <v>139</v>
      </c>
      <c r="F32" s="16" t="s">
        <v>32</v>
      </c>
      <c r="G32" s="17">
        <v>46246</v>
      </c>
      <c r="H32" s="17">
        <v>46247</v>
      </c>
      <c r="AI32" s="2"/>
      <c r="AJ32" s="2"/>
    </row>
    <row r="33" spans="1:43" ht="15.4" customHeight="1">
      <c r="A33" s="16" t="s">
        <v>268</v>
      </c>
      <c r="B33" s="16" t="s">
        <v>104</v>
      </c>
      <c r="C33" s="16" t="s">
        <v>269</v>
      </c>
      <c r="D33" s="16" t="s">
        <v>36</v>
      </c>
      <c r="E33" s="16" t="s">
        <v>131</v>
      </c>
      <c r="F33" s="16" t="s">
        <v>32</v>
      </c>
      <c r="G33" s="17">
        <v>46247</v>
      </c>
      <c r="H33" s="17">
        <v>46248</v>
      </c>
      <c r="AJ33" s="2"/>
      <c r="AK33" s="2"/>
    </row>
    <row r="34" spans="1:43" ht="15.4" customHeight="1">
      <c r="A34" s="16" t="s">
        <v>275</v>
      </c>
      <c r="B34" s="16" t="s">
        <v>104</v>
      </c>
      <c r="C34" s="16" t="s">
        <v>245</v>
      </c>
      <c r="D34" s="16" t="s">
        <v>38</v>
      </c>
      <c r="E34" s="16" t="s">
        <v>139</v>
      </c>
      <c r="F34" s="16" t="s">
        <v>32</v>
      </c>
      <c r="G34" s="17">
        <v>46248</v>
      </c>
      <c r="H34" s="17">
        <v>46251</v>
      </c>
      <c r="AK34" s="2"/>
      <c r="AL34" s="2"/>
      <c r="AM34" s="2"/>
      <c r="AN34" s="2"/>
    </row>
    <row r="35" spans="1:43" ht="15.4" customHeight="1">
      <c r="A35" s="16" t="s">
        <v>280</v>
      </c>
      <c r="B35" s="16" t="s">
        <v>104</v>
      </c>
      <c r="C35" s="16" t="s">
        <v>281</v>
      </c>
      <c r="D35" s="16" t="s">
        <v>38</v>
      </c>
      <c r="E35" s="16" t="s">
        <v>139</v>
      </c>
      <c r="F35" s="16" t="s">
        <v>32</v>
      </c>
      <c r="G35" s="17">
        <v>46252</v>
      </c>
      <c r="H35" s="17">
        <v>46252</v>
      </c>
      <c r="AO35" s="2"/>
    </row>
    <row r="36" spans="1:43" ht="15.4" customHeight="1">
      <c r="A36" s="16" t="s">
        <v>286</v>
      </c>
      <c r="B36" s="16" t="s">
        <v>104</v>
      </c>
      <c r="C36" s="16" t="s">
        <v>281</v>
      </c>
      <c r="D36" s="16" t="s">
        <v>38</v>
      </c>
      <c r="E36" s="16" t="s">
        <v>139</v>
      </c>
      <c r="F36" s="16" t="s">
        <v>32</v>
      </c>
      <c r="G36" s="17">
        <v>46253</v>
      </c>
      <c r="H36" s="17">
        <v>46253</v>
      </c>
      <c r="AP36" s="2"/>
    </row>
    <row r="37" spans="1:43" ht="15.4" customHeight="1">
      <c r="A37" s="16" t="s">
        <v>291</v>
      </c>
      <c r="B37" s="16" t="s">
        <v>104</v>
      </c>
      <c r="C37" s="16" t="s">
        <v>292</v>
      </c>
      <c r="D37" s="16" t="s">
        <v>38</v>
      </c>
      <c r="E37" s="16" t="s">
        <v>139</v>
      </c>
      <c r="F37" s="16" t="s">
        <v>32</v>
      </c>
      <c r="G37" s="17">
        <v>46254</v>
      </c>
      <c r="H37" s="17">
        <v>46254</v>
      </c>
      <c r="AQ37" s="2"/>
    </row>
    <row r="38" spans="1:43" ht="15.4" customHeight="1">
      <c r="A38" s="16" t="s">
        <v>297</v>
      </c>
      <c r="B38" s="16" t="s">
        <v>104</v>
      </c>
      <c r="C38" s="16" t="s">
        <v>298</v>
      </c>
      <c r="D38" s="16" t="s">
        <v>38</v>
      </c>
      <c r="E38" s="16" t="s">
        <v>139</v>
      </c>
      <c r="F38" s="16" t="s">
        <v>32</v>
      </c>
      <c r="G38" s="17">
        <v>46254</v>
      </c>
      <c r="H38" s="17">
        <v>46254</v>
      </c>
      <c r="AQ38" s="2"/>
    </row>
    <row r="39" spans="1:43" ht="15.4" customHeight="1">
      <c r="A39" s="16" t="s">
        <v>303</v>
      </c>
      <c r="B39" s="16" t="s">
        <v>104</v>
      </c>
      <c r="C39" s="16" t="s">
        <v>304</v>
      </c>
      <c r="D39" s="16" t="s">
        <v>38</v>
      </c>
      <c r="E39" s="16" t="s">
        <v>139</v>
      </c>
      <c r="F39" s="16" t="s">
        <v>32</v>
      </c>
      <c r="G39" s="17">
        <v>46238</v>
      </c>
      <c r="H39" s="17">
        <v>46239</v>
      </c>
      <c r="AA39" s="2"/>
      <c r="AB39" s="2"/>
    </row>
    <row r="40" spans="1:43" ht="15.4" customHeight="1">
      <c r="A40" s="16" t="s">
        <v>309</v>
      </c>
      <c r="B40" s="16" t="s">
        <v>104</v>
      </c>
      <c r="C40" s="16" t="s">
        <v>311</v>
      </c>
      <c r="D40" s="16" t="s">
        <v>33</v>
      </c>
      <c r="E40" s="16" t="s">
        <v>314</v>
      </c>
      <c r="F40" s="16" t="s">
        <v>32</v>
      </c>
      <c r="G40" s="17">
        <v>46245</v>
      </c>
      <c r="H40" s="17">
        <v>46246</v>
      </c>
      <c r="AH40" s="2"/>
      <c r="AI40" s="2"/>
    </row>
    <row r="41" spans="1:43" ht="15.4" customHeight="1">
      <c r="A41" s="16" t="s">
        <v>319</v>
      </c>
      <c r="B41" s="16" t="s">
        <v>104</v>
      </c>
      <c r="C41" s="16" t="s">
        <v>311</v>
      </c>
      <c r="D41" s="16" t="s">
        <v>33</v>
      </c>
      <c r="E41" s="16" t="s">
        <v>314</v>
      </c>
      <c r="F41" s="16" t="s">
        <v>32</v>
      </c>
      <c r="G41" s="17">
        <v>46247</v>
      </c>
      <c r="H41" s="17">
        <v>46248</v>
      </c>
      <c r="AJ41" s="2"/>
      <c r="AK41" s="2"/>
    </row>
    <row r="42" spans="1:43" ht="15.4" customHeight="1">
      <c r="A42" s="16" t="s">
        <v>324</v>
      </c>
      <c r="B42" s="16" t="s">
        <v>104</v>
      </c>
      <c r="C42" s="16" t="s">
        <v>311</v>
      </c>
      <c r="D42" s="16" t="s">
        <v>33</v>
      </c>
      <c r="E42" s="16" t="s">
        <v>314</v>
      </c>
      <c r="F42" s="16" t="s">
        <v>32</v>
      </c>
      <c r="G42" s="17">
        <v>46251</v>
      </c>
      <c r="H42" s="17">
        <v>46252</v>
      </c>
      <c r="AN42" s="2"/>
      <c r="AO42" s="2"/>
    </row>
    <row r="43" spans="1:43" ht="15.4" customHeight="1">
      <c r="A43" s="16" t="s">
        <v>329</v>
      </c>
      <c r="B43" s="16" t="s">
        <v>104</v>
      </c>
      <c r="C43" s="16" t="s">
        <v>311</v>
      </c>
      <c r="D43" s="16" t="s">
        <v>33</v>
      </c>
      <c r="E43" s="16" t="s">
        <v>314</v>
      </c>
      <c r="F43" s="16" t="s">
        <v>32</v>
      </c>
      <c r="G43" s="17">
        <v>46253</v>
      </c>
      <c r="H43" s="17">
        <v>46254</v>
      </c>
      <c r="AP43" s="2"/>
      <c r="AQ43" s="2"/>
    </row>
    <row r="44" spans="1:43" ht="15.4" customHeight="1">
      <c r="A44" s="16" t="s">
        <v>334</v>
      </c>
      <c r="B44" s="16" t="s">
        <v>104</v>
      </c>
      <c r="C44" s="16" t="s">
        <v>311</v>
      </c>
      <c r="D44" s="16" t="s">
        <v>33</v>
      </c>
      <c r="E44" s="16" t="s">
        <v>314</v>
      </c>
      <c r="F44" s="16" t="s">
        <v>32</v>
      </c>
      <c r="G44" s="17">
        <v>46246</v>
      </c>
      <c r="H44" s="17">
        <v>46247</v>
      </c>
      <c r="AI44" s="2"/>
      <c r="AJ44" s="2"/>
    </row>
    <row r="45" spans="1:43" ht="15.4" customHeight="1">
      <c r="A45" s="16" t="s">
        <v>338</v>
      </c>
      <c r="B45" s="16" t="s">
        <v>104</v>
      </c>
      <c r="C45" s="16" t="s">
        <v>339</v>
      </c>
      <c r="D45" s="16" t="s">
        <v>34</v>
      </c>
      <c r="E45" s="16" t="s">
        <v>342</v>
      </c>
      <c r="F45" s="16" t="s">
        <v>32</v>
      </c>
      <c r="G45" s="17">
        <v>46230</v>
      </c>
      <c r="H45" s="17">
        <v>46231</v>
      </c>
      <c r="S45" s="2"/>
      <c r="T45" s="2"/>
    </row>
    <row r="46" spans="1:43" ht="15.4" customHeight="1">
      <c r="A46" s="16" t="s">
        <v>345</v>
      </c>
      <c r="B46" s="16" t="s">
        <v>104</v>
      </c>
      <c r="C46" s="16" t="s">
        <v>339</v>
      </c>
      <c r="D46" s="16" t="s">
        <v>34</v>
      </c>
      <c r="E46" s="16" t="s">
        <v>342</v>
      </c>
      <c r="F46" s="16" t="s">
        <v>32</v>
      </c>
      <c r="G46" s="17">
        <v>46232</v>
      </c>
      <c r="H46" s="17">
        <v>46233</v>
      </c>
      <c r="U46" s="2"/>
      <c r="V46" s="2"/>
    </row>
    <row r="47" spans="1:43" ht="15.4" customHeight="1">
      <c r="A47" s="16" t="s">
        <v>350</v>
      </c>
      <c r="B47" s="16" t="s">
        <v>104</v>
      </c>
      <c r="C47" s="16" t="s">
        <v>339</v>
      </c>
      <c r="D47" s="16" t="s">
        <v>34</v>
      </c>
      <c r="E47" s="16" t="s">
        <v>342</v>
      </c>
      <c r="F47" s="16" t="s">
        <v>32</v>
      </c>
      <c r="G47" s="17">
        <v>46234</v>
      </c>
      <c r="H47" s="17">
        <v>46237</v>
      </c>
      <c r="W47" s="2"/>
      <c r="X47" s="2"/>
      <c r="Y47" s="2"/>
      <c r="Z47" s="2"/>
    </row>
    <row r="48" spans="1:43" ht="15.4" customHeight="1">
      <c r="A48" s="16" t="s">
        <v>355</v>
      </c>
      <c r="B48" s="16" t="s">
        <v>104</v>
      </c>
      <c r="C48" s="16" t="s">
        <v>339</v>
      </c>
      <c r="D48" s="16" t="s">
        <v>34</v>
      </c>
      <c r="E48" s="16" t="s">
        <v>342</v>
      </c>
      <c r="F48" s="16" t="s">
        <v>32</v>
      </c>
      <c r="G48" s="17">
        <v>46238</v>
      </c>
      <c r="H48" s="17">
        <v>46238</v>
      </c>
      <c r="AA48" s="2"/>
    </row>
    <row r="49" spans="1:61" ht="15.4" customHeight="1">
      <c r="A49" s="16" t="s">
        <v>360</v>
      </c>
      <c r="B49" s="16" t="s">
        <v>104</v>
      </c>
      <c r="C49" s="16" t="s">
        <v>361</v>
      </c>
      <c r="D49" s="16" t="s">
        <v>33</v>
      </c>
      <c r="E49" s="16" t="s">
        <v>314</v>
      </c>
      <c r="F49" s="16" t="s">
        <v>32</v>
      </c>
      <c r="G49" s="17">
        <v>46241</v>
      </c>
      <c r="H49" s="17">
        <v>46244</v>
      </c>
      <c r="AD49" s="2"/>
      <c r="AE49" s="2"/>
      <c r="AF49" s="2"/>
      <c r="AG49" s="2"/>
    </row>
    <row r="50" spans="1:61" ht="15.4" customHeight="1">
      <c r="A50" s="16" t="s">
        <v>367</v>
      </c>
      <c r="B50" s="16" t="s">
        <v>104</v>
      </c>
      <c r="C50" s="16" t="s">
        <v>361</v>
      </c>
      <c r="D50" s="16" t="s">
        <v>33</v>
      </c>
      <c r="E50" s="16" t="s">
        <v>314</v>
      </c>
      <c r="F50" s="16" t="s">
        <v>32</v>
      </c>
      <c r="G50" s="17">
        <v>46248</v>
      </c>
      <c r="H50" s="17">
        <v>46251</v>
      </c>
      <c r="AK50" s="2"/>
      <c r="AL50" s="2"/>
      <c r="AM50" s="2"/>
      <c r="AN50" s="2"/>
    </row>
    <row r="51" spans="1:61" ht="15.4" customHeight="1">
      <c r="A51" s="16" t="s">
        <v>372</v>
      </c>
      <c r="B51" s="16" t="s">
        <v>104</v>
      </c>
      <c r="C51" s="16" t="s">
        <v>373</v>
      </c>
      <c r="D51" s="16" t="s">
        <v>36</v>
      </c>
      <c r="E51" s="16" t="s">
        <v>131</v>
      </c>
      <c r="F51" s="16" t="s">
        <v>32</v>
      </c>
      <c r="G51" s="17">
        <v>46252</v>
      </c>
      <c r="H51" s="17">
        <v>46252</v>
      </c>
      <c r="AO51" s="2"/>
    </row>
    <row r="52" spans="1:61" ht="15.4" customHeight="1">
      <c r="A52" s="16" t="s">
        <v>379</v>
      </c>
      <c r="B52" s="16" t="s">
        <v>104</v>
      </c>
      <c r="C52" s="16" t="s">
        <v>380</v>
      </c>
      <c r="D52" s="16" t="s">
        <v>34</v>
      </c>
      <c r="E52" s="16" t="s">
        <v>342</v>
      </c>
      <c r="F52" s="16" t="s">
        <v>15</v>
      </c>
      <c r="G52" s="17">
        <v>46226</v>
      </c>
      <c r="H52" s="17">
        <v>46227</v>
      </c>
      <c r="O52" s="34"/>
      <c r="P52" s="2"/>
    </row>
    <row r="53" spans="1:61" ht="15.4" customHeight="1">
      <c r="A53" s="16" t="s">
        <v>386</v>
      </c>
      <c r="B53" s="16" t="s">
        <v>104</v>
      </c>
      <c r="C53" s="16" t="s">
        <v>388</v>
      </c>
      <c r="D53" s="16" t="s">
        <v>31</v>
      </c>
      <c r="E53" s="16" t="s">
        <v>109</v>
      </c>
      <c r="F53" s="16" t="s">
        <v>32</v>
      </c>
      <c r="G53" s="17">
        <v>46255</v>
      </c>
      <c r="H53" s="17">
        <v>46258</v>
      </c>
      <c r="AR53" s="2"/>
      <c r="AS53" s="2"/>
      <c r="AT53" s="2"/>
      <c r="AU53" s="2"/>
    </row>
    <row r="54" spans="1:61" ht="15.4" customHeight="1">
      <c r="A54" s="16" t="s">
        <v>394</v>
      </c>
      <c r="B54" s="16" t="s">
        <v>104</v>
      </c>
      <c r="C54" s="16" t="s">
        <v>395</v>
      </c>
      <c r="D54" s="16" t="s">
        <v>36</v>
      </c>
      <c r="E54" s="16" t="s">
        <v>131</v>
      </c>
      <c r="F54" s="16" t="s">
        <v>32</v>
      </c>
      <c r="G54" s="17">
        <v>46259</v>
      </c>
      <c r="H54" s="17">
        <v>46260</v>
      </c>
      <c r="AV54" s="2"/>
      <c r="AW54" s="2"/>
    </row>
    <row r="55" spans="1:61" ht="15.4" customHeight="1">
      <c r="A55" s="16" t="s">
        <v>400</v>
      </c>
      <c r="B55" s="16" t="s">
        <v>104</v>
      </c>
      <c r="C55" s="16" t="s">
        <v>395</v>
      </c>
      <c r="D55" s="16" t="s">
        <v>40</v>
      </c>
      <c r="E55" s="16" t="s">
        <v>147</v>
      </c>
      <c r="F55" s="16" t="s">
        <v>32</v>
      </c>
      <c r="G55" s="17">
        <v>46259</v>
      </c>
      <c r="H55" s="17">
        <v>46260</v>
      </c>
      <c r="AV55" s="2"/>
      <c r="AW55" s="2"/>
    </row>
    <row r="56" spans="1:61" ht="15.4" customHeight="1">
      <c r="A56" s="16" t="s">
        <v>406</v>
      </c>
      <c r="B56" s="16" t="s">
        <v>104</v>
      </c>
      <c r="C56" s="16" t="s">
        <v>395</v>
      </c>
      <c r="D56" s="16" t="s">
        <v>38</v>
      </c>
      <c r="E56" s="16" t="s">
        <v>139</v>
      </c>
      <c r="F56" s="16" t="s">
        <v>32</v>
      </c>
      <c r="G56" s="17">
        <v>46261</v>
      </c>
      <c r="H56" s="17">
        <v>46262</v>
      </c>
      <c r="AX56" s="2"/>
      <c r="AY56" s="2"/>
    </row>
    <row r="57" spans="1:61" ht="15.4" customHeight="1">
      <c r="A57" s="16" t="s">
        <v>411</v>
      </c>
      <c r="B57" s="16" t="s">
        <v>104</v>
      </c>
      <c r="C57" s="16" t="s">
        <v>395</v>
      </c>
      <c r="D57" s="16" t="s">
        <v>40</v>
      </c>
      <c r="E57" s="16" t="s">
        <v>147</v>
      </c>
      <c r="F57" s="16" t="s">
        <v>32</v>
      </c>
      <c r="G57" s="17">
        <v>46259</v>
      </c>
      <c r="H57" s="17">
        <v>46260</v>
      </c>
      <c r="AV57" s="2"/>
      <c r="AW57" s="2"/>
    </row>
    <row r="58" spans="1:61" ht="15.4" customHeight="1">
      <c r="A58" s="16" t="s">
        <v>417</v>
      </c>
      <c r="B58" s="16" t="s">
        <v>104</v>
      </c>
      <c r="C58" s="16" t="s">
        <v>395</v>
      </c>
      <c r="D58" s="16" t="s">
        <v>40</v>
      </c>
      <c r="E58" s="16" t="s">
        <v>147</v>
      </c>
      <c r="F58" s="16" t="s">
        <v>32</v>
      </c>
      <c r="G58" s="17">
        <v>46261</v>
      </c>
      <c r="H58" s="17">
        <v>46262</v>
      </c>
      <c r="AX58" s="2"/>
      <c r="AY58" s="2"/>
    </row>
    <row r="59" spans="1:61" ht="15.4" customHeight="1">
      <c r="A59" s="16" t="s">
        <v>422</v>
      </c>
      <c r="B59" s="16" t="s">
        <v>104</v>
      </c>
      <c r="C59" s="16" t="s">
        <v>423</v>
      </c>
      <c r="D59" s="16" t="s">
        <v>31</v>
      </c>
      <c r="E59" s="16" t="s">
        <v>109</v>
      </c>
      <c r="F59" s="16" t="s">
        <v>32</v>
      </c>
      <c r="G59" s="17">
        <v>46238</v>
      </c>
      <c r="H59" s="17">
        <v>46238</v>
      </c>
      <c r="AA59" s="2"/>
    </row>
    <row r="60" spans="1:61" ht="15.4" customHeight="1">
      <c r="A60" s="16" t="s">
        <v>429</v>
      </c>
      <c r="B60" s="16" t="s">
        <v>104</v>
      </c>
      <c r="C60" s="16" t="s">
        <v>430</v>
      </c>
      <c r="D60" s="16" t="s">
        <v>40</v>
      </c>
      <c r="E60" s="16" t="s">
        <v>147</v>
      </c>
      <c r="F60" s="16" t="s">
        <v>32</v>
      </c>
      <c r="G60" s="17">
        <v>46265</v>
      </c>
      <c r="H60" s="17">
        <v>46266</v>
      </c>
      <c r="AW60" s="35"/>
      <c r="BB60" s="36"/>
      <c r="BC60" s="36"/>
    </row>
    <row r="61" spans="1:61" ht="15.4" customHeight="1">
      <c r="A61" s="16" t="s">
        <v>434</v>
      </c>
      <c r="B61" s="16" t="s">
        <v>104</v>
      </c>
      <c r="C61" s="16" t="s">
        <v>435</v>
      </c>
      <c r="D61" s="16" t="s">
        <v>31</v>
      </c>
      <c r="E61" s="16" t="s">
        <v>109</v>
      </c>
      <c r="F61" s="16" t="s">
        <v>32</v>
      </c>
      <c r="G61" s="17">
        <v>46267</v>
      </c>
      <c r="H61" s="17">
        <v>46267</v>
      </c>
      <c r="BB61" s="35"/>
      <c r="BC61" s="35"/>
      <c r="BD61" s="2"/>
    </row>
    <row r="62" spans="1:61" ht="15.4" customHeight="1">
      <c r="A62" s="16" t="s">
        <v>440</v>
      </c>
      <c r="B62" s="16" t="s">
        <v>104</v>
      </c>
      <c r="C62" s="16" t="s">
        <v>441</v>
      </c>
      <c r="D62" s="16" t="s">
        <v>36</v>
      </c>
      <c r="E62" s="16" t="s">
        <v>131</v>
      </c>
      <c r="F62" s="16" t="s">
        <v>32</v>
      </c>
      <c r="G62" s="17">
        <v>46253</v>
      </c>
      <c r="H62" s="17">
        <v>46253</v>
      </c>
      <c r="AP62" s="2"/>
    </row>
    <row r="63" spans="1:61" ht="15.4" customHeight="1">
      <c r="A63" s="16" t="s">
        <v>445</v>
      </c>
      <c r="B63" s="16" t="s">
        <v>13</v>
      </c>
      <c r="C63" s="16" t="s">
        <v>447</v>
      </c>
      <c r="D63" s="16" t="s">
        <v>34</v>
      </c>
      <c r="E63" s="16" t="s">
        <v>342</v>
      </c>
      <c r="F63" s="16" t="s">
        <v>32</v>
      </c>
      <c r="G63" s="17">
        <v>46272</v>
      </c>
      <c r="H63" s="17">
        <v>46272</v>
      </c>
      <c r="BI63" s="18"/>
    </row>
    <row r="64" spans="1:61" ht="15.4" customHeight="1">
      <c r="A64" s="16" t="s">
        <v>453</v>
      </c>
      <c r="B64" s="16" t="s">
        <v>13</v>
      </c>
      <c r="C64" s="16" t="s">
        <v>447</v>
      </c>
      <c r="D64" s="16" t="s">
        <v>34</v>
      </c>
      <c r="E64" s="16" t="s">
        <v>342</v>
      </c>
      <c r="F64" s="16" t="s">
        <v>32</v>
      </c>
      <c r="G64" s="17">
        <v>46269</v>
      </c>
      <c r="H64" s="17">
        <v>46269</v>
      </c>
      <c r="BF64" s="18"/>
    </row>
    <row r="65" spans="1:63" ht="15.4" customHeight="1">
      <c r="A65" s="16" t="s">
        <v>457</v>
      </c>
      <c r="B65" s="16" t="s">
        <v>13</v>
      </c>
      <c r="C65" s="16" t="s">
        <v>447</v>
      </c>
      <c r="D65" s="16" t="s">
        <v>34</v>
      </c>
      <c r="E65" s="16" t="s">
        <v>342</v>
      </c>
      <c r="F65" s="16" t="s">
        <v>32</v>
      </c>
      <c r="G65" s="17">
        <v>46269</v>
      </c>
      <c r="H65" s="17">
        <v>46269</v>
      </c>
      <c r="BF65" s="18"/>
    </row>
    <row r="66" spans="1:63" ht="15.4" customHeight="1">
      <c r="A66" s="16" t="s">
        <v>461</v>
      </c>
      <c r="B66" s="16" t="s">
        <v>13</v>
      </c>
      <c r="C66" s="16" t="s">
        <v>462</v>
      </c>
      <c r="D66" s="16" t="s">
        <v>34</v>
      </c>
      <c r="E66" s="16" t="s">
        <v>342</v>
      </c>
      <c r="F66" s="16" t="s">
        <v>32</v>
      </c>
      <c r="G66" s="17">
        <v>46273</v>
      </c>
      <c r="H66" s="17">
        <v>46273</v>
      </c>
      <c r="BJ66" s="18"/>
    </row>
    <row r="67" spans="1:63" ht="15.4" customHeight="1">
      <c r="A67" s="16" t="s">
        <v>467</v>
      </c>
      <c r="B67" s="16" t="s">
        <v>13</v>
      </c>
      <c r="C67" s="16" t="s">
        <v>468</v>
      </c>
      <c r="D67" s="16" t="s">
        <v>38</v>
      </c>
      <c r="E67" s="16" t="s">
        <v>139</v>
      </c>
      <c r="F67" s="16" t="s">
        <v>32</v>
      </c>
      <c r="G67" s="17">
        <v>46269</v>
      </c>
      <c r="H67" s="17">
        <v>46269</v>
      </c>
      <c r="BF67" s="18"/>
    </row>
    <row r="68" spans="1:63" ht="15.4" customHeight="1">
      <c r="A68" s="16" t="s">
        <v>473</v>
      </c>
      <c r="B68" s="16" t="s">
        <v>13</v>
      </c>
      <c r="C68" s="16" t="s">
        <v>474</v>
      </c>
      <c r="D68" s="16" t="s">
        <v>36</v>
      </c>
      <c r="E68" s="16" t="s">
        <v>131</v>
      </c>
      <c r="F68" s="16" t="s">
        <v>32</v>
      </c>
      <c r="G68" s="17">
        <v>46272</v>
      </c>
      <c r="H68" s="17">
        <v>46272</v>
      </c>
      <c r="BI68" s="18"/>
    </row>
    <row r="69" spans="1:63" ht="15.4" customHeight="1">
      <c r="A69" s="16" t="s">
        <v>478</v>
      </c>
      <c r="B69" s="16" t="s">
        <v>13</v>
      </c>
      <c r="C69" s="16" t="s">
        <v>479</v>
      </c>
      <c r="D69" s="16" t="s">
        <v>31</v>
      </c>
      <c r="E69" s="16" t="s">
        <v>109</v>
      </c>
      <c r="F69" s="16" t="s">
        <v>32</v>
      </c>
      <c r="G69" s="17">
        <v>46274</v>
      </c>
      <c r="H69" s="17">
        <v>46274</v>
      </c>
      <c r="BK69" s="18"/>
    </row>
  </sheetData>
  <mergeCells count="1">
    <mergeCell ref="A1:BK1"/>
  </mergeCells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"/>
  <sheetViews>
    <sheetView workbookViewId="0"/>
  </sheetViews>
  <sheetFormatPr defaultRowHeight="14"/>
  <cols>
    <col min="1" max="1" width="14" customWidth="1"/>
    <col min="2" max="2" width="12" customWidth="1"/>
    <col min="3" max="3" width="24" customWidth="1"/>
    <col min="4" max="4" width="14" customWidth="1"/>
  </cols>
  <sheetData>
    <row r="1" spans="1:4">
      <c r="A1" s="1" t="s">
        <v>30</v>
      </c>
      <c r="B1" s="1" t="s">
        <v>89</v>
      </c>
      <c r="C1" s="1" t="s">
        <v>27</v>
      </c>
      <c r="D1" s="1" t="s">
        <v>94</v>
      </c>
    </row>
    <row r="2" spans="1:4">
      <c r="A2" t="s">
        <v>32</v>
      </c>
      <c r="B2" t="s">
        <v>104</v>
      </c>
      <c r="C2" t="s">
        <v>31</v>
      </c>
      <c r="D2" t="s">
        <v>109</v>
      </c>
    </row>
    <row r="3" spans="1:4">
      <c r="A3" t="s">
        <v>15</v>
      </c>
      <c r="B3" t="s">
        <v>13</v>
      </c>
      <c r="C3" t="s">
        <v>33</v>
      </c>
      <c r="D3" t="s">
        <v>314</v>
      </c>
    </row>
    <row r="4" spans="1:4">
      <c r="A4" t="s">
        <v>35</v>
      </c>
      <c r="C4" t="s">
        <v>34</v>
      </c>
      <c r="D4" t="s">
        <v>342</v>
      </c>
    </row>
    <row r="5" spans="1:4">
      <c r="A5" t="s">
        <v>37</v>
      </c>
      <c r="C5" t="s">
        <v>36</v>
      </c>
      <c r="D5" t="s">
        <v>131</v>
      </c>
    </row>
    <row r="6" spans="1:4">
      <c r="A6" t="s">
        <v>39</v>
      </c>
      <c r="C6" t="s">
        <v>38</v>
      </c>
      <c r="D6" t="s">
        <v>139</v>
      </c>
    </row>
    <row r="7" spans="1:4">
      <c r="C7" t="s">
        <v>40</v>
      </c>
      <c r="D7" t="s">
        <v>147</v>
      </c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요약</vt:lpstr>
      <vt:lpstr>WBS 작업목록</vt:lpstr>
      <vt:lpstr>WBS 갠트차트</vt:lpstr>
      <vt:lpstr>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123</cp:lastModifiedBy>
  <dcterms:modified xsi:type="dcterms:W3CDTF">2026-07-23T06:41:35Z</dcterms:modified>
</cp:coreProperties>
</file>