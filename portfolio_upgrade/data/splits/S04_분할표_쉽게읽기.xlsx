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b2e86ee17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먼저 읽기" sheetId="1" r:id="R173a387710c842f6"/>
    <x:sheet xmlns:r="http://schemas.openxmlformats.org/officeDocument/2006/relationships" name="30건 시나리오" sheetId="2" r:id="Rd1f0826965884d08"/>
    <x:sheet xmlns:r="http://schemas.openxmlformats.org/officeDocument/2006/relationships" name="16개 그룹 사전" sheetId="3" r:id="R4b9722907f3647af"/>
    <x:sheet xmlns:r="http://schemas.openxmlformats.org/officeDocument/2006/relationships" name="컬럼·행동 사전" sheetId="4" r:id="R64581ec6cec0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9"/>
      <x:color rgb="FFFFFFFF"/>
      <x:name val="Carlito"/>
    </x:font>
    <x:font>
      <x:sz val="10"/>
      <x:color rgb="FF5E7285"/>
      <x:name val="Carlito"/>
    </x:font>
    <x:font>
      <x:b/>
      <x:sz val="11"/>
      <x:color rgb="FF17324D"/>
      <x:name val="Carlito"/>
    </x:font>
    <x:font>
      <x:b/>
      <x:sz val="20"/>
      <x:color rgb="FF137C83"/>
      <x:name val="Carlito"/>
    </x:font>
    <x:font>
      <x:sz val="11"/>
      <x:color rgb="FF253746"/>
      <x:name val="Carlito"/>
    </x:font>
    <x:font>
      <x:sz val="10"/>
      <x:color rgb="FF253746"/>
      <x:name val="Carlito"/>
    </x:font>
    <x:font>
      <x:sz val="9"/>
      <x:color rgb="FF137C83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37C8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5EFF1"/>
      </x:patternFill>
    </x:fill>
    <x:fill>
      <x:patternFill patternType="solid">
        <x:fgColor rgb="FFF3F7F9"/>
      </x:patternFill>
    </x:fill>
    <x:fill>
      <x:patternFill patternType="solid">
        <x:fgColor rgb="FFFFFFFF"/>
      </x:patternFill>
    </x:fill>
    <x:fill>
      <x:patternFill patternType="solid">
        <x:fgColor rgb="FFFFF2DB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47b699ca3451a" /><Relationship Type="http://schemas.openxmlformats.org/officeDocument/2006/relationships/theme" Target="/xl/theme/theme1.xml" Id="Rb9f94c9e800e4fd9" /><Relationship Type="http://schemas.openxmlformats.org/officeDocument/2006/relationships/sharedStrings" Target="/xl/sharedStrings.xml" Id="R55ec2cfef6084b3f" /><Relationship Type="http://schemas.openxmlformats.org/officeDocument/2006/relationships/worksheet" Target="/xl/worksheets/sheet1.xml" Id="R173a387710c842f6" /><Relationship Type="http://schemas.openxmlformats.org/officeDocument/2006/relationships/worksheet" Target="/xl/worksheets/sheet2.xml" Id="Rd1f0826965884d08" /><Relationship Type="http://schemas.openxmlformats.org/officeDocument/2006/relationships/worksheet" Target="/xl/worksheets/sheet3.xml" Id="R4b9722907f3647af" /><Relationship Type="http://schemas.openxmlformats.org/officeDocument/2006/relationships/worksheet" Target="/xl/worksheets/sheet4.xml" Id="R64581ec6cec04a83" /></Relationships>
</file>

<file path=xl/tables/table1.xml><?xml version="1.0" encoding="utf-8"?>
<x:table xmlns:x="http://schemas.openxmlformats.org/spreadsheetml/2006/main" id="1" name="ScenarioReadability" displayName="ScenarioReadability" ref="A4:L34" headerRowCount="1" totalsRowCount="0" totalsRowShown="0">
  <x:tableColumns count="12">
    <x:tableColumn id="1" name="분할"/>
    <x:tableColumn id="2" name="시나리오 ID"/>
    <x:tableColumn id="3" name="그룹 이름(해설)"/>
    <x:tableColumn id="4" name="고객 문의 원문(합성)"/>
    <x:tableColumn id="5" name="기대 행동(원본)"/>
    <x:tableColumn id="6" name="PDF 필수 조치(검수 기록)"/>
    <x:tableColumn id="7" name="문의 유형"/>
    <x:tableColumn id="8" name="원문 쪽"/>
    <x:tableColumn id="9" name="보완 플래그"/>
    <x:tableColumn id="10" name="그룹 ID(원본)"/>
    <x:tableColumn id="11" name="고객 질문 출처(JSON)"/>
    <x:tableColumn id="12" name="분할·조치 출처(CSV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aningGroups" displayName="MeaningGroups" ref="A4:G20" headerRowCount="1" totalsRowCount="0" totalsRowShown="0">
  <x:tableColumns count="7">
    <x:tableColumn id="1" name="그룹 ID (= group_id)"/>
    <x:tableColumn id="2" name="이해용 그룹 이름"/>
    <x:tableColumn id="3" name="분할"/>
    <x:tableColumn id="4" name="건수"/>
    <x:tableColumn id="5" name="포함된 시나리오 ID"/>
    <x:tableColumn id="6" name="왜 함께 묶였나(해설)"/>
    <x:tableColumn id="7" name="특히 주의할 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Items" displayName="DictionaryItems" ref="A3:D23" headerRowCount="1" totalsRowCount="0" totalsRowShown="0">
  <x:tableColumns count="4">
    <x:tableColumn id="1" name="항목"/>
    <x:tableColumn id="2" name="원본 이름"/>
    <x:tableColumn id="3" name="뜻"/>
    <x:tableColumn id="4" name="어디에서 가져왔는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9d5f63133544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37066244524c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aece5fa0a44eca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4" customHeight="1">
      <x:c r="A1" s="4" t="str">
        <x:v>S04 분할표, 이렇게 읽으면 돼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7" customHeight="1">
      <x:c r="A3" s="8" t="str">
        <x:v>기존 CSV + 원본 합성 시나리오 JSON을 ID로 연결한 읽기용 자료 · S04 파일럿(학습 성능 아님)</x:v>
      </x:c>
      <x:c r="B3" s="8"/>
      <x:c r="C3" s="8"/>
      <x:c r="D3" s="8"/>
      <x:c r="E3" s="8"/>
      <x:c r="F3" s="8"/>
      <x:c r="G3" s="8"/>
      <x:c r="H3" s="8"/>
    </x:row>
    <x:row r="5" ht="26" customHeight="1">
      <x:c r="A5" s="11" t="str">
        <x:v>한눈에 보는 분할 규모</x:v>
      </x:c>
      <x:c r="B5" s="11"/>
      <x:c r="C5" s="11"/>
      <x:c r="D5" s="11"/>
      <x:c r="E5" s="11"/>
      <x:c r="F5" s="11"/>
      <x:c r="G5" s="11"/>
      <x:c r="H5" s="11"/>
    </x:row>
    <x:row r="7" ht="25" customHeight="1">
      <x:c r="A7" s="15" t="str">
        <x:v>전체 시나리오</x:v>
      </x:c>
      <x:c r="B7" s="15" t="str"/>
      <x:c r="C7" s="15" t="str">
        <x:v>Train</x:v>
      </x:c>
      <x:c r="D7" s="15" t="str"/>
      <x:c r="E7" s="15" t="str">
        <x:v>Dev</x:v>
      </x:c>
      <x:c r="F7" s="15" t="str"/>
      <x:c r="G7" s="15" t="str">
        <x:v>Holdout</x:v>
      </x:c>
      <x:c r="H7" s="15" t="str"/>
    </x:row>
    <x:row r="8" ht="23" customHeight="1">
      <x:c r="A8" s="21" t="n">
        <x:f>COUNTA('30건 시나리오'!$B$5:$B$34)</x:f>
        <x:v>30</x:v>
      </x:c>
      <x:c r="B8" s="21"/>
      <x:c r="C8" s="21" t="n">
        <x:f>COUNTIF('30건 시나리오'!$A$5:$A$34,"Train")</x:f>
        <x:v>18</x:v>
      </x:c>
      <x:c r="D8" s="21"/>
      <x:c r="E8" s="21" t="n">
        <x:f>COUNTIF('30건 시나리오'!$A$5:$A$34,"Dev")</x:f>
        <x:v>6</x:v>
      </x:c>
      <x:c r="F8" s="21"/>
      <x:c r="G8" s="21" t="n">
        <x:f>COUNTIF('30건 시나리오'!$A$5:$A$34,"Holdout")</x:f>
        <x:v>6</x:v>
      </x:c>
      <x:c r="H8" s="21"/>
    </x:row>
    <x:row r="9" ht="23" customHeight="1">
      <x:c r="A9" s="21"/>
      <x:c r="B9" s="21"/>
      <x:c r="C9" s="21"/>
      <x:c r="D9" s="21"/>
      <x:c r="E9" s="21"/>
      <x:c r="F9" s="21"/>
      <x:c r="G9" s="21"/>
      <x:c r="H9" s="21"/>
    </x:row>
    <x:row r="11" ht="26" customHeight="1">
      <x:c r="A11" s="11" t="str">
        <x:v>읽는 순서 (딱 네 번만 따라가면 됨)</x:v>
      </x:c>
      <x:c r="B11" s="11"/>
      <x:c r="C11" s="11"/>
      <x:c r="D11" s="11"/>
      <x:c r="E11" s="11"/>
      <x:c r="F11" s="11"/>
      <x:c r="G11" s="11"/>
      <x:c r="H11" s="11"/>
    </x:row>
    <x:row r="13" ht="28" customHeight="1">
      <x:c r="A13" s="27" t="str">
        <x:v>① '30건 시나리오' 시트 → A열 분할(Train/Dev/Holdout)을 필터로 선택</x:v>
      </x:c>
      <x:c r="B13" s="27"/>
      <x:c r="C13" s="27"/>
      <x:c r="D13" s="27"/>
      <x:c r="E13" s="27"/>
      <x:c r="F13" s="27"/>
      <x:c r="G13" s="27"/>
      <x:c r="H13" s="27"/>
    </x:row>
    <x:row r="14" ht="28" customHeight="1">
      <x:c r="A14" s="30" t="str">
        <x:v>② D열의 고객 문의 원문 읽기 → 어떤 상황인지 파악</x:v>
      </x:c>
      <x:c r="B14" s="30"/>
      <x:c r="C14" s="30"/>
      <x:c r="D14" s="30"/>
      <x:c r="E14" s="30"/>
      <x:c r="F14" s="30"/>
      <x:c r="G14" s="30"/>
      <x:c r="H14" s="30"/>
    </x:row>
    <x:row r="15" ht="28" customHeight="1">
      <x:c r="A15" s="27" t="str">
        <x:v>③ E·F열의 기대 행동과 공식 PDF 조치 확인 → 정답이 왜 그런지 살피기</x:v>
      </x:c>
      <x:c r="B15" s="27"/>
      <x:c r="C15" s="27"/>
      <x:c r="D15" s="27"/>
      <x:c r="E15" s="27"/>
      <x:c r="F15" s="27"/>
      <x:c r="G15" s="27"/>
      <x:c r="H15" s="27"/>
    </x:row>
    <x:row r="16" ht="28" customHeight="1">
      <x:c r="A16" s="30" t="str">
        <x:v>④ C열 그룹 이름 또는 J열 그룹 ID 확인 → '16개 그룹 사전' 시트에서 다른 사례 비교</x:v>
      </x:c>
      <x:c r="B16" s="30"/>
      <x:c r="C16" s="30"/>
      <x:c r="D16" s="30"/>
      <x:c r="E16" s="30"/>
      <x:c r="F16" s="30"/>
      <x:c r="G16" s="30"/>
      <x:c r="H16" s="30"/>
    </x:row>
    <x:row r="18" ht="26" customHeight="1">
      <x:c r="A18" s="33" t="str">
        <x:v>혼동하기 쉬운 부분</x:v>
      </x:c>
      <x:c r="B18" s="33"/>
      <x:c r="C18" s="33"/>
      <x:c r="D18" s="33"/>
      <x:c r="E18" s="33"/>
      <x:c r="F18" s="33"/>
      <x:c r="G18" s="33"/>
      <x:c r="H18" s="33"/>
    </x:row>
    <x:row r="20" ht="27" customHeight="1">
      <x:c r="A20" s="36" t="str">
        <x:v>• group_id/semantic_group_id: 'sg-...' 자체에는 사람이 읽을 수 있는 의미가 없음. 같은 ID끼리 묶여 있다는 뜻.</x:v>
      </x:c>
      <x:c r="B20" s="36"/>
      <x:c r="C20" s="36"/>
      <x:c r="D20" s="36"/>
      <x:c r="E20" s="36"/>
      <x:c r="F20" s="36"/>
      <x:c r="G20" s="36"/>
      <x:c r="H20" s="36"/>
    </x:row>
    <x:row r="21" ht="27" customHeight="1">
      <x:c r="A21" s="36" t="str">
        <x:v>• family: 넓은 증상 분류. 같은 family여도 공식 조치가 다르면 다른 의미 그룹으로 분리될 수 있음.</x:v>
      </x:c>
      <x:c r="B21" s="36"/>
      <x:c r="C21" s="36"/>
      <x:c r="D21" s="36"/>
      <x:c r="E21" s="36"/>
      <x:c r="F21" s="36"/>
      <x:c r="G21" s="36"/>
      <x:c r="H21" s="36"/>
    </x:row>
    <x:row r="22" ht="27" customHeight="1">
      <x:c r="A22" s="36" t="str">
        <x:v>• 같은 의미 그룹 = 같은 정답 행동이 아님. 냉수 온도 그룹에 ANSWER와 ESCALATE가 함께 있음.</x:v>
      </x:c>
      <x:c r="B22" s="36"/>
      <x:c r="C22" s="36"/>
      <x:c r="D22" s="36"/>
      <x:c r="E22" s="36"/>
      <x:c r="F22" s="36"/>
      <x:c r="G22" s="36"/>
      <x:c r="H22" s="36"/>
    </x:row>
    <x:row r="23" ht="27" customHeight="1">
      <x:c r="A23" s="36" t="str">
        <x:v>• 'source_issue'는 원본 평가/근거 보완 플래그이며 실제 서비스 장애가 확정됐다는 의미가 아님.</x:v>
      </x:c>
      <x:c r="B23" s="36"/>
      <x:c r="C23" s="36"/>
      <x:c r="D23" s="36"/>
      <x:c r="E23" s="36"/>
      <x:c r="F23" s="36"/>
      <x:c r="G23" s="36"/>
      <x:c r="H23" s="36"/>
    </x:row>
    <x:row r="24" ht="27" customHeight="1">
      <x:c r="A24" s="36" t="str">
        <x:v>• 사례는 공식 PDF를 바탕으로 한 합성 문의. 현장 상담 로그·실제 고객 데이터가 아님.</x:v>
      </x:c>
      <x:c r="B24" s="36"/>
      <x:c r="C24" s="36"/>
      <x:c r="D24" s="36"/>
      <x:c r="E24" s="36"/>
      <x:c r="F24" s="36"/>
      <x:c r="G24" s="36"/>
      <x:c r="H24" s="36"/>
    </x:row>
    <x:row r="26" ht="26" customHeight="1">
      <x:c r="A26" s="11" t="str">
        <x:v>원본 확인 위치 (GitHub seunghyuk 브랜치)</x:v>
      </x:c>
      <x:c r="B26" s="11"/>
      <x:c r="C26" s="11"/>
      <x:c r="D26" s="11"/>
      <x:c r="E26" s="11"/>
      <x:c r="F26" s="11"/>
      <x:c r="G26" s="11"/>
      <x:c r="H26" s="11"/>
    </x:row>
    <x:row r="28" ht="26" customHeight="1">
      <x:c r="A28" s="36" t="str">
        <x:v>분할·원문 검토/골드 조치: portfolio_upgrade/data/splits/s04_reviewed_pilot_split_v2.csv</x:v>
      </x:c>
      <x:c r="B28" s="36"/>
      <x:c r="C28" s="36"/>
      <x:c r="D28" s="36"/>
      <x:c r="E28" s="36"/>
      <x:c r="F28" s="36"/>
      <x:c r="G28" s="36"/>
      <x:c r="H28" s="36"/>
    </x:row>
    <x:row r="29" ht="26" customHeight="1">
      <x:c r="A29" s="36" t="str">
        <x:v>고객 발화: data/synthetic/candidates/manual_3model_candidate_scenarios.json → request.raw_symptom</x:v>
      </x:c>
      <x:c r="B29" s="36"/>
      <x:c r="C29" s="36"/>
      <x:c r="D29" s="36"/>
      <x:c r="E29" s="36"/>
      <x:c r="F29" s="36"/>
      <x:c r="G29" s="36"/>
      <x:c r="H29" s="36"/>
    </x:row>
    <x:row r="30" ht="26" customHeight="1">
      <x:c r="A30" s="36" t="str">
        <x:v>PDF 검증: portfolio_upgrade/scripts/s04_verify_reviewed_split.py (원본 PDF를 직접 여는 검증은 아님)</x:v>
      </x:c>
      <x:c r="B30" s="36"/>
      <x:c r="C30" s="36"/>
      <x:c r="D30" s="36"/>
      <x:c r="E30" s="36"/>
      <x:c r="F30" s="36"/>
      <x:c r="G30" s="36"/>
      <x:c r="H30" s="36"/>
    </x:row>
    <x:row r="31" ht="26" customHeight="1">
      <x:c r="A31" s="36" t="str">
        <x:v>이 통합표는 원본 데이터를 수정하지 않는 학습용 스냅샷. 로컬 파일과 버전이 달라졌다면 로컬 원본이 우선.</x:v>
      </x:c>
      <x:c r="B31" s="36"/>
      <x:c r="C31" s="36"/>
      <x:c r="D31" s="36"/>
      <x:c r="E31" s="36"/>
      <x:c r="F31" s="36"/>
      <x:c r="G31" s="36"/>
      <x:c r="H31" s="36"/>
    </x:row>
    <x:row r="33" ht="22" customHeight="1">
      <x:c r="A33" s="38" t="str">
        <x:v>https://github.com/SKNETWORKS-FAMILY-AICAMP/SKN29-FINAL-4TEAM/blob/seunghyuk/portfolio_upgrade/data/splits/s04_reviewed_pilot_split_v2.csv</x:v>
      </x:c>
      <x:c r="B33" s="38"/>
      <x:c r="C33" s="38"/>
      <x:c r="D33" s="38"/>
      <x:c r="E33" s="38"/>
      <x:c r="F33" s="38"/>
      <x:c r="G33" s="38"/>
      <x:c r="H33" s="38"/>
    </x:row>
    <x:row r="34" ht="22" customHeight="1">
      <x:c r="A34" s="38" t="str">
        <x:v>https://github.com/SKNETWORKS-FAMILY-AICAMP/SKN29-FINAL-4TEAM/blob/seunghyuk/data/synthetic/candidates/manual_3model_candidate_scenarios.json</x:v>
      </x:c>
      <x:c r="B34" s="38"/>
      <x:c r="C34" s="38"/>
      <x:c r="D34" s="38"/>
      <x:c r="E34" s="38"/>
      <x:c r="F34" s="38"/>
      <x:c r="G34" s="38"/>
      <x:c r="H34" s="38"/>
    </x:row>
  </x:sheetData>
  <x:mergeCells>
    <x:mergeCell ref="A1:H2"/>
    <x:mergeCell ref="A3:H3"/>
    <x:mergeCell ref="A5:H5"/>
    <x:mergeCell ref="A8:B9"/>
    <x:mergeCell ref="C8:D9"/>
    <x:mergeCell ref="E8:F9"/>
    <x:mergeCell ref="G8:H9"/>
    <x:mergeCell ref="A11:H11"/>
    <x:mergeCell ref="A13:H13"/>
    <x:mergeCell ref="A14:H14"/>
    <x:mergeCell ref="A15:H15"/>
    <x:mergeCell ref="A16:H16"/>
    <x:mergeCell ref="A18:H18"/>
    <x:mergeCell ref="A20:H20"/>
    <x:mergeCell ref="A21:H21"/>
    <x:mergeCell ref="A22:H22"/>
    <x:mergeCell ref="A23:H23"/>
    <x:mergeCell ref="A24:H24"/>
    <x:mergeCell ref="A26:H26"/>
    <x:mergeCell ref="A28:H28"/>
    <x:mergeCell ref="A29:H29"/>
    <x:mergeCell ref="A30:H30"/>
    <x:mergeCell ref="A31:H31"/>
    <x:mergeCell ref="A33:H33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9" hidden="0" customWidth="1"/>
    <x:col min="4" max="4" width="58" hidden="0" customWidth="1"/>
    <x:col min="5" max="5" width="31" hidden="0" customWidth="1"/>
    <x:col min="6" max="6" width="65" hidden="0" customWidth="1"/>
    <x:col min="7" max="7" width="19" hidden="0" customWidth="1"/>
    <x:col min="8" max="8" width="14" hidden="0" customWidth="1"/>
    <x:col min="9" max="9" width="36" hidden="0" customWidth="1"/>
    <x:col min="10" max="10" width="25" hidden="0" customWidth="1"/>
    <x:col min="11" max="11" width="29" hidden="0" customWidth="1"/>
    <x:col min="12" max="12" width="29" hidden="0" customWidth="1"/>
  </x:cols>
  <x:sheetData>
    <x:row r="1" ht="32" customHeight="1">
      <x:c r="A1" s="40" t="str">
        <x:v>전체 시나리오 30건 — 고객 문의 문장부터 읽기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 ht="25" customHeight="1">
      <x:c r="A2" s="8" t="str">
        <x:v>분할과 그룹은 원본 CSV, 고객 문의는 합성 시나리오 JSON에서 연결 · 원본 평가 기록의 필수 조치 그대로 표시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2" customHeight="1">
      <x:c r="A4" s="44" t="str">
        <x:v>분할</x:v>
      </x:c>
      <x:c r="B4" s="44" t="str">
        <x:v>시나리오 ID</x:v>
      </x:c>
      <x:c r="C4" s="44" t="str">
        <x:v>그룹 이름(해설)</x:v>
      </x:c>
      <x:c r="D4" s="44" t="str">
        <x:v>고객 문의 원문(합성)</x:v>
      </x:c>
      <x:c r="E4" s="44" t="str">
        <x:v>기대 행동(원본)</x:v>
      </x:c>
      <x:c r="F4" s="44" t="str">
        <x:v>PDF 필수 조치(검수 기록)</x:v>
      </x:c>
      <x:c r="G4" s="44" t="str">
        <x:v>문의 유형</x:v>
      </x:c>
      <x:c r="H4" s="44" t="str">
        <x:v>원문 쪽</x:v>
      </x:c>
      <x:c r="I4" s="44" t="str">
        <x:v>보완 플래그</x:v>
      </x:c>
      <x:c r="J4" s="44" t="str">
        <x:v>그룹 ID(원본)</x:v>
      </x:c>
      <x:c r="K4" s="44" t="str">
        <x:v>고객 질문 출처(JSON)</x:v>
      </x:c>
      <x:c r="L4" s="44" t="str">
        <x:v>분할·조치 출처(CSV)</x:v>
      </x:c>
    </x:row>
    <x:row r="5" ht="76" customHeight="1">
      <x:c r="A5" s="50" t="str">
        <x:v>Train</x:v>
      </x:c>
      <x:c r="B5" s="52" t="str">
        <x:v>SYN-IAC425-101</x:v>
      </x:c>
      <x:c r="C5" s="48" t="str">
        <x:v>냉수 잠금·표시등 점멸</x:v>
      </x:c>
      <x:c r="D5" s="54" t="str">
        <x:v>WPU-IAC425에서 냉수 버튼을 누르면 소리가 나고 잠금 표시가 깜빡입니다. 정수는 나옵니다.</x:v>
      </x:c>
      <x:c r="E5" s="48" t="str">
        <x:v>ANSWER · 바로 안내</x:v>
      </x:c>
      <x:c r="F5" s="48" t="str">
        <x:v>냉수 선택 시 잠금 점멸/부저음이면 냉수 잠금을 해제하도록 안내</x:v>
      </x:c>
      <x:c r="G5" s="48" t="str">
        <x:v>냉수 잠금</x:v>
      </x:c>
      <x:c r="H5" s="48" t="str">
        <x:v>27;43</x:v>
      </x:c>
      <x:c r="I5" s="48" t="str">
        <x:v>특별한 보완 플래그 없음</x:v>
      </x:c>
      <x:c r="J5" s="48" t="str">
        <x:v>sg-f9124d23a1c5</x:v>
      </x:c>
      <x:c r="K5" s="48" t="str">
        <x:v>https://github.com/SKNETWORKS-FAMILY-AICAMP/SKN29-FINAL-4TEAM/blob/seunghyuk/data/synthetic/candidates/manual_3model_candidate_scenarios.json</x:v>
      </x:c>
      <x:c r="L5" s="48" t="str">
        <x:v>https://github.com/SKNETWORKS-FAMILY-AICAMP/SKN29-FINAL-4TEAM/blob/seunghyuk/portfolio_upgrade/data/splits/s04_reviewed_pilot_split_v2.csv</x:v>
      </x:c>
    </x:row>
    <x:row r="6" ht="76" customHeight="1">
      <x:c r="A6" s="50" t="str">
        <x:v>Train</x:v>
      </x:c>
      <x:c r="B6" s="52" t="str">
        <x:v>SYN-IAC425-102</x:v>
      </x:c>
      <x:c r="C6" s="48" t="str">
        <x:v>냉수가 미지근함: 일시적·지속적</x:v>
      </x:c>
      <x:c r="D6" s="54" t="str">
        <x:v>가족들이 냉수를 연달아 많이 받은 직후부터 덜 차갑습니다. 평소에는 정상이고 잠금 표시는 없습니다.</x:v>
      </x:c>
      <x:c r="E6" s="48" t="str">
        <x:v>ANSWER · 바로 안내</x:v>
      </x:c>
      <x:c r="F6" s="48" t="str">
        <x:v>연속 다량 냉수 출수 후에는 잠시 기다렸다 다시 출수</x:v>
      </x:c>
      <x:c r="G6" s="48" t="str">
        <x:v>냉수가 미지근함</x:v>
      </x:c>
      <x:c r="H6" s="48" t="str">
        <x:v>43</x:v>
      </x:c>
      <x:c r="I6" s="48" t="str">
        <x:v>핵심 조치 누락 제안</x:v>
      </x:c>
      <x:c r="J6" s="48" t="str">
        <x:v>sg-ef6b56fea3f1</x:v>
      </x:c>
      <x:c r="K6" s="48" t="str">
        <x:v>https://github.com/SKNETWORKS-FAMILY-AICAMP/SKN29-FINAL-4TEAM/blob/seunghyuk/data/synthetic/candidates/manual_3model_candidate_scenarios.json</x:v>
      </x:c>
      <x:c r="L6" s="48" t="str">
        <x:v>https://github.com/SKNETWORKS-FAMILY-AICAMP/SKN29-FINAL-4TEAM/blob/seunghyuk/portfolio_upgrade/data/splits/s04_reviewed_pilot_split_v2.csv</x:v>
      </x:c>
    </x:row>
    <x:row r="7" ht="76" customHeight="1">
      <x:c r="A7" s="50" t="str">
        <x:v>Train</x:v>
      </x:c>
      <x:c r="B7" s="52" t="str">
        <x:v>SYN-IAC425-103</x:v>
      </x:c>
      <x:c r="C7" s="48" t="str">
        <x:v>냉수가 미지근함: 일시적·지속적</x:v>
      </x:c>
      <x:c r="D7" s="54" t="str">
        <x:v>220V 전원은 정상이고 냉수 잠금도 해제했습니다. 2시간 넘게 기다린 뒤 다시 받아도 계속 미지근합니다.</x:v>
      </x:c>
      <x:c r="E7" s="48" t="str">
        <x:v>ESCALATE · 상담·안전 인계</x:v>
      </x:c>
      <x:c r="F7" s="48" t="str">
        <x:v>전원 정상 및 2시간 경과 후에도 미지근하면 고객상담센터 문의</x:v>
      </x:c>
      <x:c r="G7" s="48" t="str">
        <x:v>냉수가 미지근함</x:v>
      </x:c>
      <x:c r="H7" s="48" t="str">
        <x:v>43</x:v>
      </x:c>
      <x:c r="I7" s="48" t="str">
        <x:v>업무 상태는 PDF 근거 아님</x:v>
      </x:c>
      <x:c r="J7" s="48" t="str">
        <x:v>sg-ef6b56fea3f1</x:v>
      </x:c>
      <x:c r="K7" s="48" t="str">
        <x:v>https://github.com/SKNETWORKS-FAMILY-AICAMP/SKN29-FINAL-4TEAM/blob/seunghyuk/data/synthetic/candidates/manual_3model_candidate_scenarios.json</x:v>
      </x:c>
      <x:c r="L7" s="48" t="str">
        <x:v>https://github.com/SKNETWORKS-FAMILY-AICAMP/SKN29-FINAL-4TEAM/blob/seunghyuk/portfolio_upgrade/data/splits/s04_reviewed_pilot_split_v2.csv</x:v>
      </x:c>
    </x:row>
    <x:row r="8" ht="76" customHeight="1">
      <x:c r="A8" s="50" t="str">
        <x:v>Train</x:v>
      </x:c>
      <x:c r="B8" s="52" t="str">
        <x:v>SYN-IAC425-104</x:v>
      </x:c>
      <x:c r="C8" s="48" t="str">
        <x:v>얼음 생성·기기 소음</x:v>
      </x:c>
      <x:c r="D8" s="54" t="str">
        <x:v>얼음이 만들어질 때만 물 흐르는 소리와 달그락 소리가 나고, 얼음이 떨어진 뒤에는 멈춥니다.</x:v>
      </x:c>
      <x:c r="E8" s="48" t="str">
        <x:v>ANSWER · 바로 안내</x:v>
      </x:c>
      <x:c r="F8" s="48" t="str">
        <x:v>제빙수 순환 및 생성된 얼음이 떨어지는 소리는 정상 작동 가능</x:v>
      </x:c>
      <x:c r="G8" s="48" t="str">
        <x:v>제빙 소음</x:v>
      </x:c>
      <x:c r="H8" s="48" t="str">
        <x:v>44</x:v>
      </x:c>
      <x:c r="I8" s="48" t="str">
        <x:v>불필요한 정답 근거 제외 제안</x:v>
      </x:c>
      <x:c r="J8" s="48" t="str">
        <x:v>sg-9a4beeef51f2</x:v>
      </x:c>
      <x:c r="K8" s="48" t="str">
        <x:v>https://github.com/SKNETWORKS-FAMILY-AICAMP/SKN29-FINAL-4TEAM/blob/seunghyuk/data/synthetic/candidates/manual_3model_candidate_scenarios.json</x:v>
      </x:c>
      <x:c r="L8" s="48" t="str">
        <x:v>https://github.com/SKNETWORKS-FAMILY-AICAMP/SKN29-FINAL-4TEAM/blob/seunghyuk/portfolio_upgrade/data/splits/s04_reviewed_pilot_split_v2.csv</x:v>
      </x:c>
    </x:row>
    <x:row r="9" ht="76" customHeight="1">
      <x:c r="A9" s="50" t="str">
        <x:v>Dev</x:v>
      </x:c>
      <x:c r="B9" s="52" t="str">
        <x:v>SYN-IAC425-105</x:v>
      </x:c>
      <x:c r="C9" s="48" t="str">
        <x:v>갑작스러운 전체 무출수</x:v>
      </x:c>
      <x:c r="D9" s="54" t="str">
        <x:v>정수기 물이 갑자기 안 나옵니다. 다른 건 아직 확인하지 못했어요.</x:v>
      </x:c>
      <x:c r="E9" s="48" t="str">
        <x:v>ASK · 추가 질문</x:v>
      </x:c>
      <x:c r="F9" s="48" t="str">
        <x:v>밸브·단수·직수관케어·호스/필터 상태 추가 확인</x:v>
      </x:c>
      <x:c r="G9" s="48" t="str">
        <x:v>물 안 나옴</x:v>
      </x:c>
      <x:c r="H9" s="48" t="str">
        <x:v>44</x:v>
      </x:c>
      <x:c r="I9" s="48" t="str">
        <x:v>특별한 보완 플래그 없음</x:v>
      </x:c>
      <x:c r="J9" s="48" t="str">
        <x:v>sg-95f2ae21531a</x:v>
      </x:c>
      <x:c r="K9" s="48" t="str">
        <x:v>https://github.com/SKNETWORKS-FAMILY-AICAMP/SKN29-FINAL-4TEAM/blob/seunghyuk/data/synthetic/candidates/manual_3model_candidate_scenarios.json</x:v>
      </x:c>
      <x:c r="L9" s="48" t="str">
        <x:v>https://github.com/SKNETWORKS-FAMILY-AICAMP/SKN29-FINAL-4TEAM/blob/seunghyuk/portfolio_upgrade/data/splits/s04_reviewed_pilot_split_v2.csv</x:v>
      </x:c>
    </x:row>
    <x:row r="10" ht="76" customHeight="1">
      <x:c r="A10" s="50" t="str">
        <x:v>Train</x:v>
      </x:c>
      <x:c r="B10" s="52" t="str">
        <x:v>SYN-IAC425-106</x:v>
      </x:c>
      <x:c r="C10" s="48" t="str">
        <x:v>조리수 동시 사용에 따른 저출수</x:v>
      </x:c>
      <x:c r="D10" s="54" t="str">
        <x:v>싱크대 조리수를 틀어둔 동안에만 정수기 물줄기가 약해지고, 조리수를 끄면 다시 정상으로 돌아옵니다.</x:v>
      </x:c>
      <x:c r="E10" s="48" t="str">
        <x:v>ANSWER · 바로 안내</x:v>
      </x:c>
      <x:c r="F10" s="48" t="str">
        <x:v>조리수/다른 수전의 동시 사용을 중단하고 다시 출수해 확인</x:v>
      </x:c>
      <x:c r="G10" s="48" t="str">
        <x:v>출수량 저하</x:v>
      </x:c>
      <x:c r="H10" s="48" t="str">
        <x:v>44</x:v>
      </x:c>
      <x:c r="I10" s="48" t="str">
        <x:v>핵심 조치 누락 제안</x:v>
      </x:c>
      <x:c r="J10" s="48" t="str">
        <x:v>sg-524becf0fd6e</x:v>
      </x:c>
      <x:c r="K10" s="48" t="str">
        <x:v>https://github.com/SKNETWORKS-FAMILY-AICAMP/SKN29-FINAL-4TEAM/blob/seunghyuk/data/synthetic/candidates/manual_3model_candidate_scenarios.json</x:v>
      </x:c>
      <x:c r="L10" s="48" t="str">
        <x:v>https://github.com/SKNETWORKS-FAMILY-AICAMP/SKN29-FINAL-4TEAM/blob/seunghyuk/portfolio_upgrade/data/splits/s04_reviewed_pilot_split_v2.csv</x:v>
      </x:c>
    </x:row>
    <x:row r="11" ht="76" customHeight="1">
      <x:c r="A11" s="50" t="str">
        <x:v>Holdout</x:v>
      </x:c>
      <x:c r="B11" s="52" t="str">
        <x:v>SYN-IAC425-107</x:v>
      </x:c>
      <x:c r="C11" s="48" t="str">
        <x:v>얼음이 안 나옴·소진 가능성</x:v>
      </x:c>
      <x:c r="D11" s="54" t="str">
        <x:v>얼음 버튼을 눌러도 얼음이 안 나와요. 어제 많이 사용한 건 맞는데 지금 설정이나 밸브는 모르겠습니다.</x:v>
      </x:c>
      <x:c r="E11" s="48" t="str">
        <x:v>ASK · 추가 질문</x:v>
      </x:c>
      <x:c r="F11" s="48" t="str">
        <x:v>얼음 사용량, 얼음 기능 잠금, 중간/볼 밸브, 단수, 방열팬·배수호스 상태 확인</x:v>
      </x:c>
      <x:c r="G11" s="48" t="str">
        <x:v>얼음 안 나옴</x:v>
      </x:c>
      <x:c r="H11" s="48" t="str">
        <x:v>45</x:v>
      </x:c>
      <x:c r="I11" s="48" t="str">
        <x:v>추가 질문·조치 보강 제안</x:v>
      </x:c>
      <x:c r="J11" s="48" t="str">
        <x:v>sg-324a538e9589</x:v>
      </x:c>
      <x:c r="K11" s="48" t="str">
        <x:v>https://github.com/SKNETWORKS-FAMILY-AICAMP/SKN29-FINAL-4TEAM/blob/seunghyuk/data/synthetic/candidates/manual_3model_candidate_scenarios.json</x:v>
      </x:c>
      <x:c r="L11" s="48" t="str">
        <x:v>https://github.com/SKNETWORKS-FAMILY-AICAMP/SKN29-FINAL-4TEAM/blob/seunghyuk/portfolio_upgrade/data/splits/s04_reviewed_pilot_split_v2.csv</x:v>
      </x:c>
    </x:row>
    <x:row r="12" ht="76" customHeight="1">
      <x:c r="A12" s="50" t="str">
        <x:v>Train</x:v>
      </x:c>
      <x:c r="B12" s="52" t="str">
        <x:v>SYN-IAC425-108</x:v>
      </x:c>
      <x:c r="C12" s="48" t="str">
        <x:v>누수·반복 경고음: IAC 계열</x:v>
      </x:c>
      <x:c r="D12" s="54" t="str">
        <x:v>물받이 밖으로 물이 새고 버튼을 누를 때마다 띵띵띵 소리가 계속 납니다. 바닥에 물이 번지고 있어요.</x:v>
      </x:c>
      <x:c r="E12" s="48" t="str">
        <x:v>ESCALATE · 상담·안전 인계</x:v>
      </x:c>
      <x:c r="F12" s="48" t="str">
        <x:v>누수와 반복 띵띵띵 경고: 중간 또는 제품 뒷면 볼 밸브 잠금 + 상담센터 문의</x:v>
      </x:c>
      <x:c r="G12" s="48" t="str">
        <x:v>누수</x:v>
      </x:c>
      <x:c r="H12" s="48" t="str">
        <x:v>5;45</x:v>
      </x:c>
      <x:c r="I12" s="48" t="str">
        <x:v>특별한 보완 플래그 없음</x:v>
      </x:c>
      <x:c r="J12" s="48" t="str">
        <x:v>sg-9c822fb31d16</x:v>
      </x:c>
      <x:c r="K12" s="48" t="str">
        <x:v>https://github.com/SKNETWORKS-FAMILY-AICAMP/SKN29-FINAL-4TEAM/blob/seunghyuk/data/synthetic/candidates/manual_3model_candidate_scenarios.json</x:v>
      </x:c>
      <x:c r="L12" s="48" t="str">
        <x:v>https://github.com/SKNETWORKS-FAMILY-AICAMP/SKN29-FINAL-4TEAM/blob/seunghyuk/portfolio_upgrade/data/splits/s04_reviewed_pilot_split_v2.csv</x:v>
      </x:c>
    </x:row>
    <x:row r="13" ht="76" customHeight="1">
      <x:c r="A13" s="50" t="str">
        <x:v>Holdout</x:v>
      </x:c>
      <x:c r="B13" s="52" t="str">
        <x:v>SYN-IAC425-109</x:v>
      </x:c>
      <x:c r="C13" s="48" t="str">
        <x:v>온수 이상·음용 금지 안전 규칙</x:v>
      </x:c>
      <x:c r="D13" s="54" t="str">
        <x:v>온수가 중간에 멈췄고 온수·정수·냉수 버튼이 모두 깜빡이며 표시창이 빨갛습니다. 받은 물을 마셔도 되나요?</x:v>
      </x:c>
      <x:c r="E13" s="48" t="str">
        <x:v>ESCALATE · 상담·안전 인계</x:v>
      </x:c>
      <x:c r="F13" s="48" t="str">
        <x:v>전체 버튼 점멸·빨간 표시창: 출수된 물 음용 금지 + 고객상담센터 문의</x:v>
      </x:c>
      <x:c r="G13" s="48" t="str">
        <x:v>온수 이상</x:v>
      </x:c>
      <x:c r="H13" s="48" t="str">
        <x:v>46</x:v>
      </x:c>
      <x:c r="I13" s="48" t="str">
        <x:v>필수 안전 조치 누락 제안</x:v>
      </x:c>
      <x:c r="J13" s="48" t="str">
        <x:v>sg-7ca1e560390a</x:v>
      </x:c>
      <x:c r="K13" s="48" t="str">
        <x:v>https://github.com/SKNETWORKS-FAMILY-AICAMP/SKN29-FINAL-4TEAM/blob/seunghyuk/data/synthetic/candidates/manual_3model_candidate_scenarios.json</x:v>
      </x:c>
      <x:c r="L13" s="48" t="str">
        <x:v>https://github.com/SKNETWORKS-FAMILY-AICAMP/SKN29-FINAL-4TEAM/blob/seunghyuk/portfolio_upgrade/data/splits/s04_reviewed_pilot_split_v2.csv</x:v>
      </x:c>
    </x:row>
    <x:row r="14" ht="76" customHeight="1">
      <x:c r="A14" s="50" t="str">
        <x:v>Train</x:v>
      </x:c>
      <x:c r="B14" s="52" t="str">
        <x:v>SYN-IAC425-110</x:v>
      </x:c>
      <x:c r="C14" s="48" t="str">
        <x:v>제품별 버튼 명칭 불일치</x:v>
      </x:c>
      <x:c r="D14" s="54" t="str">
        <x:v>모델은 WPU-IAC425라고 적혀 있는데 출수/출빙 버튼을 눌러도 물이 안 나와요. 이 버튼이 맞나요?</x:v>
      </x:c>
      <x:c r="E14" s="48" t="str">
        <x:v>ASK · 추가 질문</x:v>
      </x:c>
      <x:c r="F14" s="48" t="str">
        <x:v>IAC425의 물 출수용은 [물] 버튼; 제품 라벨·전면 조작부 확인</x:v>
      </x:c>
      <x:c r="G14" s="48" t="str">
        <x:v>모델·버튼 불일치</x:v>
      </x:c>
      <x:c r="H14" s="48" t="str">
        <x:v>10;12;15;17</x:v>
      </x:c>
      <x:c r="I14" s="48" t="str">
        <x:v>범위/미지원 판정 수정 제안</x:v>
      </x:c>
      <x:c r="J14" s="48" t="str">
        <x:v>sg-2ce56ae10f52</x:v>
      </x:c>
      <x:c r="K14" s="48" t="str">
        <x:v>https://github.com/SKNETWORKS-FAMILY-AICAMP/SKN29-FINAL-4TEAM/blob/seunghyuk/data/synthetic/candidates/manual_3model_candidate_scenarios.json</x:v>
      </x:c>
      <x:c r="L14" s="48" t="str">
        <x:v>https://github.com/SKNETWORKS-FAMILY-AICAMP/SKN29-FINAL-4TEAM/blob/seunghyuk/portfolio_upgrade/data/splits/s04_reviewed_pilot_split_v2.csv</x:v>
      </x:c>
    </x:row>
    <x:row r="15" ht="76" customHeight="1">
      <x:c r="A15" s="50" t="str">
        <x:v>Train</x:v>
      </x:c>
      <x:c r="B15" s="52" t="str">
        <x:v>SYN-IAC606-101</x:v>
      </x:c>
      <x:c r="C15" s="48" t="str">
        <x:v>냉수 잠금·표시등 점멸</x:v>
      </x:c>
      <x:c r="D15" s="54" t="str">
        <x:v>WPU-IAC606인데 냉수 버튼을 누르면 부저음이 나고 잠금 표시가 깜빡여요. 물은 정수로는 나옵니다.</x:v>
      </x:c>
      <x:c r="E15" s="48" t="str">
        <x:v>ANSWER · 바로 안내</x:v>
      </x:c>
      <x:c r="F15" s="48" t="str">
        <x:v>냉수 버튼 부저음과 잠금 점멸 시 냉수 잠금 해제 안내</x:v>
      </x:c>
      <x:c r="G15" s="48" t="str">
        <x:v>냉수 잠금</x:v>
      </x:c>
      <x:c r="H15" s="48" t="str">
        <x:v>24;40</x:v>
      </x:c>
      <x:c r="I15" s="48" t="str">
        <x:v>특별한 보완 플래그 없음</x:v>
      </x:c>
      <x:c r="J15" s="48" t="str">
        <x:v>sg-f9124d23a1c5</x:v>
      </x:c>
      <x:c r="K15" s="48" t="str">
        <x:v>https://github.com/SKNETWORKS-FAMILY-AICAMP/SKN29-FINAL-4TEAM/blob/seunghyuk/data/synthetic/candidates/manual_3model_candidate_scenarios.json</x:v>
      </x:c>
      <x:c r="L15" s="48" t="str">
        <x:v>https://github.com/SKNETWORKS-FAMILY-AICAMP/SKN29-FINAL-4TEAM/blob/seunghyuk/portfolio_upgrade/data/splits/s04_reviewed_pilot_split_v2.csv</x:v>
      </x:c>
    </x:row>
    <x:row r="16" ht="76" customHeight="1">
      <x:c r="A16" s="50" t="str">
        <x:v>Train</x:v>
      </x:c>
      <x:c r="B16" s="52" t="str">
        <x:v>SYN-IAC606-102</x:v>
      </x:c>
      <x:c r="C16" s="48" t="str">
        <x:v>냉수가 미지근함: 일시적·지속적</x:v>
      </x:c>
      <x:c r="D16" s="54" t="str">
        <x:v>손님 여러 명이 냉수를 연속으로 많이 받은 직후부터 물이 평소보다 덜 차가워졌어요. 그 전까지는 정상입니다.</x:v>
      </x:c>
      <x:c r="E16" s="48" t="str">
        <x:v>ANSWER · 바로 안내</x:v>
      </x:c>
      <x:c r="F16" s="48" t="str">
        <x:v>연속 다량 냉수 출수 후에는 잠시 기다렸다 다시 출수</x:v>
      </x:c>
      <x:c r="G16" s="48" t="str">
        <x:v>냉수가 미지근함</x:v>
      </x:c>
      <x:c r="H16" s="48" t="str">
        <x:v>40</x:v>
      </x:c>
      <x:c r="I16" s="48" t="str">
        <x:v>핵심 조치 누락 제안</x:v>
      </x:c>
      <x:c r="J16" s="48" t="str">
        <x:v>sg-ef6b56fea3f1</x:v>
      </x:c>
      <x:c r="K16" s="48" t="str">
        <x:v>https://github.com/SKNETWORKS-FAMILY-AICAMP/SKN29-FINAL-4TEAM/blob/seunghyuk/data/synthetic/candidates/manual_3model_candidate_scenarios.json</x:v>
      </x:c>
      <x:c r="L16" s="48" t="str">
        <x:v>https://github.com/SKNETWORKS-FAMILY-AICAMP/SKN29-FINAL-4TEAM/blob/seunghyuk/portfolio_upgrade/data/splits/s04_reviewed_pilot_split_v2.csv</x:v>
      </x:c>
    </x:row>
    <x:row r="17" ht="76" customHeight="1">
      <x:c r="A17" s="50" t="str">
        <x:v>Train</x:v>
      </x:c>
      <x:c r="B17" s="52" t="str">
        <x:v>SYN-IAC606-103</x:v>
      </x:c>
      <x:c r="C17" s="48" t="str">
        <x:v>냉수가 미지근함: 일시적·지속적</x:v>
      </x:c>
      <x:c r="D17" s="54" t="str">
        <x:v>상담에서 기다렸다 다시 받아보라고 해서 해결 확인 대기 중이었는데, 전원은 정상이고 2시간이 지나도 냉수가 계속 미지근합니다.</x:v>
      </x:c>
      <x:c r="E17" s="48" t="str">
        <x:v>ESCALATE · 상담·안전 인계</x:v>
      </x:c>
      <x:c r="F17" s="48" t="str">
        <x:v>전원 정상 및 2시간 경과 후에도 냉수 미지근하면 고객상담센터 문의</x:v>
      </x:c>
      <x:c r="G17" s="48" t="str">
        <x:v>냉수가 미지근함</x:v>
      </x:c>
      <x:c r="H17" s="48" t="str">
        <x:v>40</x:v>
      </x:c>
      <x:c r="I17" s="48" t="str">
        <x:v>업무 상태는 PDF 근거 아님</x:v>
      </x:c>
      <x:c r="J17" s="48" t="str">
        <x:v>sg-ef6b56fea3f1</x:v>
      </x:c>
      <x:c r="K17" s="48" t="str">
        <x:v>https://github.com/SKNETWORKS-FAMILY-AICAMP/SKN29-FINAL-4TEAM/blob/seunghyuk/data/synthetic/candidates/manual_3model_candidate_scenarios.json</x:v>
      </x:c>
      <x:c r="L17" s="48" t="str">
        <x:v>https://github.com/SKNETWORKS-FAMILY-AICAMP/SKN29-FINAL-4TEAM/blob/seunghyuk/portfolio_upgrade/data/splits/s04_reviewed_pilot_split_v2.csv</x:v>
      </x:c>
    </x:row>
    <x:row r="18" ht="76" customHeight="1">
      <x:c r="A18" s="50" t="str">
        <x:v>Train</x:v>
      </x:c>
      <x:c r="B18" s="52" t="str">
        <x:v>SYN-IAC606-104</x:v>
      </x:c>
      <x:c r="C18" s="48" t="str">
        <x:v>얼음 생성·기기 소음</x:v>
      </x:c>
      <x:c r="D18" s="54" t="str">
        <x:v>밤에 정수기에서 물 흐르는 소리도 나고 달그락하거나 공기 빠지는 것 같은 소리도 나요. 고장인가요?</x:v>
      </x:c>
      <x:c r="E18" s="48" t="str">
        <x:v>ASK · 추가 질문</x:v>
      </x:c>
      <x:c r="F18" s="48" t="str">
        <x:v>제빙수 순환·얼음 낙하·냉매 순환 소리 가능성 구분; 과도한 소음 별도 확인</x:v>
      </x:c>
      <x:c r="G18" s="48" t="str">
        <x:v>소음</x:v>
      </x:c>
      <x:c r="H18" s="48" t="str">
        <x:v>41</x:v>
      </x:c>
      <x:c r="I18" s="48" t="str">
        <x:v>특별한 보완 플래그 없음</x:v>
      </x:c>
      <x:c r="J18" s="48" t="str">
        <x:v>sg-9a4beeef51f2</x:v>
      </x:c>
      <x:c r="K18" s="48" t="str">
        <x:v>https://github.com/SKNETWORKS-FAMILY-AICAMP/SKN29-FINAL-4TEAM/blob/seunghyuk/data/synthetic/candidates/manual_3model_candidate_scenarios.json</x:v>
      </x:c>
      <x:c r="L18" s="48" t="str">
        <x:v>https://github.com/SKNETWORKS-FAMILY-AICAMP/SKN29-FINAL-4TEAM/blob/seunghyuk/portfolio_upgrade/data/splits/s04_reviewed_pilot_split_v2.csv</x:v>
      </x:c>
    </x:row>
    <x:row r="19" ht="76" customHeight="1">
      <x:c r="A19" s="50" t="str">
        <x:v>Dev</x:v>
      </x:c>
      <x:c r="B19" s="52" t="str">
        <x:v>SYN-IAC606-105</x:v>
      </x:c>
      <x:c r="C19" s="48" t="str">
        <x:v>갑작스러운 전체 무출수</x:v>
      </x:c>
      <x:c r="D19" s="54" t="str">
        <x:v>갑자기 물이 하나도 안 나와요. 화면에 뭔가 표시되기는 하는데 자세히는 모르겠어요.</x:v>
      </x:c>
      <x:c r="E19" s="48" t="str">
        <x:v>ASK · 추가 질문</x:v>
      </x:c>
      <x:c r="F19" s="48" t="str">
        <x:v>표시창 FLO/직수관케어, 중간/볼 밸브, 단수, 호스 상태 확인</x:v>
      </x:c>
      <x:c r="G19" s="48" t="str">
        <x:v>물 안 나옴</x:v>
      </x:c>
      <x:c r="H19" s="48" t="str">
        <x:v>28;41</x:v>
      </x:c>
      <x:c r="I19" s="48" t="str">
        <x:v>추가 질문 대상 조정 제안</x:v>
      </x:c>
      <x:c r="J19" s="48" t="str">
        <x:v>sg-95f2ae21531a</x:v>
      </x:c>
      <x:c r="K19" s="48" t="str">
        <x:v>https://github.com/SKNETWORKS-FAMILY-AICAMP/SKN29-FINAL-4TEAM/blob/seunghyuk/data/synthetic/candidates/manual_3model_candidate_scenarios.json</x:v>
      </x:c>
      <x:c r="L19" s="48" t="str">
        <x:v>https://github.com/SKNETWORKS-FAMILY-AICAMP/SKN29-FINAL-4TEAM/blob/seunghyuk/portfolio_upgrade/data/splits/s04_reviewed_pilot_split_v2.csv</x:v>
      </x:c>
    </x:row>
    <x:row r="20" ht="76" customHeight="1">
      <x:c r="A20" s="50" t="str">
        <x:v>Holdout</x:v>
      </x:c>
      <x:c r="B20" s="52" t="str">
        <x:v>SYN-IAC606-106</x:v>
      </x:c>
      <x:c r="C20" s="48" t="str">
        <x:v>얼음이 안 나옴·소진 가능성</x:v>
      </x:c>
      <x:c r="D20" s="54" t="str">
        <x:v>오늘 얼음이 안 나와요. 어제 많이 쓰긴 했는데 설정이 꺼졌는지 물이 안 들어오는지 모르겠어요.</x:v>
      </x:c>
      <x:c r="E20" s="48" t="str">
        <x:v>ASK · 추가 질문</x:v>
      </x:c>
      <x:c r="F20" s="48" t="str">
        <x:v>과다 사용으로 아이스룸이 비었는지, 얼음 기능 잠금·OFF, 중간/볼 밸브·단수·호스 확인</x:v>
      </x:c>
      <x:c r="G20" s="48" t="str">
        <x:v>얼음 안 나옴</x:v>
      </x:c>
      <x:c r="H20" s="48" t="str">
        <x:v>42</x:v>
      </x:c>
      <x:c r="I20" s="48" t="str">
        <x:v>핵심 상황 정보 누락 제안</x:v>
      </x:c>
      <x:c r="J20" s="48" t="str">
        <x:v>sg-324a538e9589</x:v>
      </x:c>
      <x:c r="K20" s="48" t="str">
        <x:v>https://github.com/SKNETWORKS-FAMILY-AICAMP/SKN29-FINAL-4TEAM/blob/seunghyuk/data/synthetic/candidates/manual_3model_candidate_scenarios.json</x:v>
      </x:c>
      <x:c r="L20" s="48" t="str">
        <x:v>https://github.com/SKNETWORKS-FAMILY-AICAMP/SKN29-FINAL-4TEAM/blob/seunghyuk/portfolio_upgrade/data/splits/s04_reviewed_pilot_split_v2.csv</x:v>
      </x:c>
    </x:row>
    <x:row r="21" ht="76" customHeight="1">
      <x:c r="A21" s="50" t="str">
        <x:v>Train</x:v>
      </x:c>
      <x:c r="B21" s="52" t="str">
        <x:v>SYN-IAC606-107</x:v>
      </x:c>
      <x:c r="C21" s="48" t="str">
        <x:v>누수·반복 경고음: IAC 계열</x:v>
      </x:c>
      <x:c r="D21" s="54" t="str">
        <x:v>물받이는 넘치지 않았는데 제품 밑으로 물이 번지고, 버튼을 누를 때마다 띵띵띵 소리가 납니다.</x:v>
      </x:c>
      <x:c r="E21" s="48" t="str">
        <x:v>ESCALATE · 상담·안전 인계</x:v>
      </x:c>
      <x:c r="F21" s="48" t="str">
        <x:v>물받이 넘침 아님 + 누수/띵띵띵: 중간 또는 제품 뒷면 볼 밸브 잠금 + 상담센터 문의</x:v>
      </x:c>
      <x:c r="G21" s="48" t="str">
        <x:v>누수</x:v>
      </x:c>
      <x:c r="H21" s="48" t="str">
        <x:v>5;42</x:v>
      </x:c>
      <x:c r="I21" s="48" t="str">
        <x:v>특별한 보완 플래그 없음</x:v>
      </x:c>
      <x:c r="J21" s="48" t="str">
        <x:v>sg-9c822fb31d16</x:v>
      </x:c>
      <x:c r="K21" s="48" t="str">
        <x:v>https://github.com/SKNETWORKS-FAMILY-AICAMP/SKN29-FINAL-4TEAM/blob/seunghyuk/data/synthetic/candidates/manual_3model_candidate_scenarios.json</x:v>
      </x:c>
      <x:c r="L21" s="48" t="str">
        <x:v>https://github.com/SKNETWORKS-FAMILY-AICAMP/SKN29-FINAL-4TEAM/blob/seunghyuk/portfolio_upgrade/data/splits/s04_reviewed_pilot_split_v2.csv</x:v>
      </x:c>
    </x:row>
    <x:row r="22" ht="76" customHeight="1">
      <x:c r="A22" s="50" t="str">
        <x:v>Holdout</x:v>
      </x:c>
      <x:c r="B22" s="52" t="str">
        <x:v>SYN-IAC606-108</x:v>
      </x:c>
      <x:c r="C22" s="48" t="str">
        <x:v>온수 이상·음용 금지 안전 규칙</x:v>
      </x:c>
      <x:c r="D22" s="54" t="str">
        <x:v>온수가 나오다 멈췄고 온수·정수·냉수 버튼이 전부 깜빡입니다. 표시창도 빨간색이고 컵에 받은 물이 있는데 마셔도 되나요?</x:v>
      </x:c>
      <x:c r="E22" s="48" t="str">
        <x:v>ESCALATE · 상담·안전 인계</x:v>
      </x:c>
      <x:c r="F22" s="48" t="str">
        <x:v>전체 버튼 점멸·빨간 표시창: 출수된 물 음용 금지 + 고객상담센터 문의</x:v>
      </x:c>
      <x:c r="G22" s="48" t="str">
        <x:v>온수 이상</x:v>
      </x:c>
      <x:c r="H22" s="48" t="str">
        <x:v>43</x:v>
      </x:c>
      <x:c r="I22" s="48" t="str">
        <x:v>필수 안전 조치 누락 제안</x:v>
      </x:c>
      <x:c r="J22" s="48" t="str">
        <x:v>sg-7ca1e560390a</x:v>
      </x:c>
      <x:c r="K22" s="48" t="str">
        <x:v>https://github.com/SKNETWORKS-FAMILY-AICAMP/SKN29-FINAL-4TEAM/blob/seunghyuk/data/synthetic/candidates/manual_3model_candidate_scenarios.json</x:v>
      </x:c>
      <x:c r="L22" s="48" t="str">
        <x:v>https://github.com/SKNETWORKS-FAMILY-AICAMP/SKN29-FINAL-4TEAM/blob/seunghyuk/portfolio_upgrade/data/splits/s04_reviewed_pilot_split_v2.csv</x:v>
      </x:c>
    </x:row>
    <x:row r="23" ht="76" customHeight="1">
      <x:c r="A23" s="50" t="str">
        <x:v>Train</x:v>
      </x:c>
      <x:c r="B23" s="52" t="str">
        <x:v>SYN-IAC606-109</x:v>
      </x:c>
      <x:c r="C23" s="48" t="str">
        <x:v>12일 부재 후 맛·냄새</x:v>
      </x:c>
      <x:c r="D23" s="54" t="str">
        <x:v>12일 동안 집을 비운 뒤 첫 물에서 냄새와 이상한 맛이 납니다. 바로 마시지는 않았습니다.</x:v>
      </x:c>
      <x:c r="E23" s="48" t="str">
        <x:v>ANSWER_THEN_CONFIRM · 안내 후 확인</x:v>
      </x:c>
      <x:c r="F23" s="48" t="str">
        <x:v>12일 부재: 필터 커버 열어 10초 이상 경과 후 닫아 자동 세척 약 10분, 이어 직수관케어 실행 후 확인</x:v>
      </x:c>
      <x:c r="G23" s="48" t="str">
        <x:v>맛·냄새</x:v>
      </x:c>
      <x:c r="H23" s="48" t="str">
        <x:v>28;42</x:v>
      </x:c>
      <x:c r="I23" s="48" t="str">
        <x:v>핵심 조치 누락 제안</x:v>
      </x:c>
      <x:c r="J23" s="48" t="str">
        <x:v>sg-88395b8d1b1a</x:v>
      </x:c>
      <x:c r="K23" s="48" t="str">
        <x:v>https://github.com/SKNETWORKS-FAMILY-AICAMP/SKN29-FINAL-4TEAM/blob/seunghyuk/data/synthetic/candidates/manual_3model_candidate_scenarios.json</x:v>
      </x:c>
      <x:c r="L23" s="48" t="str">
        <x:v>https://github.com/SKNETWORKS-FAMILY-AICAMP/SKN29-FINAL-4TEAM/blob/seunghyuk/portfolio_upgrade/data/splits/s04_reviewed_pilot_split_v2.csv</x:v>
      </x:c>
    </x:row>
    <x:row r="24" ht="76" customHeight="1">
      <x:c r="A24" s="50" t="str">
        <x:v>Train</x:v>
      </x:c>
      <x:c r="B24" s="52" t="str">
        <x:v>SYN-IAC606-110</x:v>
      </x:c>
      <x:c r="C24" s="48" t="str">
        <x:v>제품별 버튼 명칭 불일치</x:v>
      </x:c>
      <x:c r="D24" s="54" t="str">
        <x:v>WPU-IAC606에서 [물] 버튼을 눌렀는데 물이 안 나와요. 설명서대로 [물] 버튼을 다시 누르면 되나요?</x:v>
      </x:c>
      <x:c r="E24" s="48" t="str">
        <x:v>ASK · 추가 질문</x:v>
      </x:c>
      <x:c r="F24" s="48" t="str">
        <x:v>IAC606은 [출수/출빙] 버튼 사용; 모델 라벨·전면 조작부 확인</x:v>
      </x:c>
      <x:c r="G24" s="48" t="str">
        <x:v>모델·버튼 불일치</x:v>
      </x:c>
      <x:c r="H24" s="48" t="str">
        <x:v>10;12;15;18</x:v>
      </x:c>
      <x:c r="I24" s="48" t="str">
        <x:v>범위/미지원 판정 수정 제안</x:v>
      </x:c>
      <x:c r="J24" s="48" t="str">
        <x:v>sg-2ce56ae10f52</x:v>
      </x:c>
      <x:c r="K24" s="48" t="str">
        <x:v>https://github.com/SKNETWORKS-FAMILY-AICAMP/SKN29-FINAL-4TEAM/blob/seunghyuk/data/synthetic/candidates/manual_3model_candidate_scenarios.json</x:v>
      </x:c>
      <x:c r="L24" s="48" t="str">
        <x:v>https://github.com/SKNETWORKS-FAMILY-AICAMP/SKN29-FINAL-4TEAM/blob/seunghyuk/portfolio_upgrade/data/splits/s04_reviewed_pilot_split_v2.csv</x:v>
      </x:c>
    </x:row>
    <x:row r="25" ht="76" customHeight="1">
      <x:c r="A25" s="50" t="str">
        <x:v>Dev</x:v>
      </x:c>
      <x:c r="B25" s="52" t="str">
        <x:v>SYN-JAC104-025</x:v>
      </x:c>
      <x:c r="C25" s="48" t="str">
        <x:v>갑작스러운 전체 무출수</x:v>
      </x:c>
      <x:c r="D25" s="54" t="str">
        <x:v>WPU-JAC104 정수기에서 물이 전혀 안 나와요. 갑자기 그래서 뭘 확인해야 할지 모르겠습니다.</x:v>
      </x:c>
      <x:c r="E25" s="48" t="str">
        <x:v>ASK · 추가 질문</x:v>
      </x:c>
      <x:c r="F25" s="48" t="str">
        <x:v>단수·필터 교체 상태·호스 꺾임 확인; 단수/필터교체 후 무출수 조치는 조건별 적용</x:v>
      </x:c>
      <x:c r="G25" s="48" t="str">
        <x:v>물 안 나옴</x:v>
      </x:c>
      <x:c r="H25" s="48" t="str">
        <x:v>37</x:v>
      </x:c>
      <x:c r="I25" s="48" t="str">
        <x:v>특별한 보완 플래그 없음</x:v>
      </x:c>
      <x:c r="J25" s="48" t="str">
        <x:v>sg-95f2ae21531a</x:v>
      </x:c>
      <x:c r="K25" s="48" t="str">
        <x:v>https://github.com/SKNETWORKS-FAMILY-AICAMP/SKN29-FINAL-4TEAM/blob/seunghyuk/data/synthetic/candidates/manual_3model_candidate_scenarios.json</x:v>
      </x:c>
      <x:c r="L25" s="48" t="str">
        <x:v>https://github.com/SKNETWORKS-FAMILY-AICAMP/SKN29-FINAL-4TEAM/blob/seunghyuk/portfolio_upgrade/data/splits/s04_reviewed_pilot_split_v2.csv</x:v>
      </x:c>
    </x:row>
    <x:row r="26" ht="76" customHeight="1">
      <x:c r="A26" s="50" t="str">
        <x:v>Train</x:v>
      </x:c>
      <x:c r="B26" s="52" t="str">
        <x:v>SYN-JAC104-026</x:v>
      </x:c>
      <x:c r="C26" s="48" t="str">
        <x:v>냉수가 미지근함: 일시적·지속적</x:v>
      </x:c>
      <x:c r="D26" s="54" t="str">
        <x:v>회의 중 여러 명이 냉수를 연속으로 많이 받은 뒤부터 덜 차가워졌어요. 그 전에는 정상입니다.</x:v>
      </x:c>
      <x:c r="E26" s="48" t="str">
        <x:v>ANSWER · 바로 안내</x:v>
      </x:c>
      <x:c r="F26" s="48" t="str">
        <x:v>연속 다량 출수 후에는 잠시 기다렸다 다시 출수</x:v>
      </x:c>
      <x:c r="G26" s="48" t="str">
        <x:v>냉수가 미지근함</x:v>
      </x:c>
      <x:c r="H26" s="48" t="str">
        <x:v>37</x:v>
      </x:c>
      <x:c r="I26" s="48" t="str">
        <x:v>시나리오 조건 구분 필요</x:v>
      </x:c>
      <x:c r="J26" s="48" t="str">
        <x:v>sg-ef6b56fea3f1</x:v>
      </x:c>
      <x:c r="K26" s="48" t="str">
        <x:v>https://github.com/SKNETWORKS-FAMILY-AICAMP/SKN29-FINAL-4TEAM/blob/seunghyuk/data/synthetic/candidates/manual_3model_candidate_scenarios.json</x:v>
      </x:c>
      <x:c r="L26" s="48" t="str">
        <x:v>https://github.com/SKNETWORKS-FAMILY-AICAMP/SKN29-FINAL-4TEAM/blob/seunghyuk/portfolio_upgrade/data/splits/s04_reviewed_pilot_split_v2.csv</x:v>
      </x:c>
    </x:row>
    <x:row r="27" ht="76" customHeight="1">
      <x:c r="A27" s="50" t="str">
        <x:v>Train</x:v>
      </x:c>
      <x:c r="B27" s="52" t="str">
        <x:v>SYN-JAC104-027</x:v>
      </x:c>
      <x:c r="C27" s="48" t="str">
        <x:v>냉수가 미지근함: 일시적·지속적</x:v>
      </x:c>
      <x:c r="D27" s="54" t="str">
        <x:v>전원은 AC 220V이고 냉수 잠금도 해제했습니다. 2시간 후에도 냉수가 계속 미지근합니다.</x:v>
      </x:c>
      <x:c r="E27" s="48" t="str">
        <x:v>ESCALATE · 상담·안전 인계</x:v>
      </x:c>
      <x:c r="F27" s="48" t="str">
        <x:v>전원 정상이고 2시간 후에도 냉수 미지근하면 고객상담센터 문의</x:v>
      </x:c>
      <x:c r="G27" s="48" t="str">
        <x:v>냉수가 미지근함</x:v>
      </x:c>
      <x:c r="H27" s="48" t="str">
        <x:v>37</x:v>
      </x:c>
      <x:c r="I27" s="48" t="str">
        <x:v>업무 상태는 PDF 근거 아님</x:v>
      </x:c>
      <x:c r="J27" s="48" t="str">
        <x:v>sg-ef6b56fea3f1</x:v>
      </x:c>
      <x:c r="K27" s="48" t="str">
        <x:v>https://github.com/SKNETWORKS-FAMILY-AICAMP/SKN29-FINAL-4TEAM/blob/seunghyuk/data/synthetic/candidates/manual_3model_candidate_scenarios.json</x:v>
      </x:c>
      <x:c r="L27" s="48" t="str">
        <x:v>https://github.com/SKNETWORKS-FAMILY-AICAMP/SKN29-FINAL-4TEAM/blob/seunghyuk/portfolio_upgrade/data/splits/s04_reviewed_pilot_split_v2.csv</x:v>
      </x:c>
    </x:row>
    <x:row r="28" ht="76" customHeight="1">
      <x:c r="A28" s="50" t="str">
        <x:v>Train</x:v>
      </x:c>
      <x:c r="B28" s="52" t="str">
        <x:v>SYN-JAC104-028</x:v>
      </x:c>
      <x:c r="C28" s="48" t="str">
        <x:v>윙·툭·물 흐르는 소리</x:v>
      </x:c>
      <x:c r="D28" s="54" t="str">
        <x:v>정수기에서 윙 소리도 나고 물 받을 때 툭 소리, 가끔 물 흐르는 소리도 나요. 소리가 큰지는 잘 모르겠어요.</x:v>
      </x:c>
      <x:c r="E28" s="48" t="str">
        <x:v>ASK · 추가 질문</x:v>
      </x:c>
      <x:c r="F28" s="48" t="str">
        <x:v>윙·툭·내부 물 흐름 소음의 정상 범위 설명; 소리가 지나치게 크면 상담</x:v>
      </x:c>
      <x:c r="G28" s="48" t="str">
        <x:v>소음</x:v>
      </x:c>
      <x:c r="H28" s="48" t="str">
        <x:v>37</x:v>
      </x:c>
      <x:c r="I28" s="48" t="str">
        <x:v>특별한 보완 플래그 없음</x:v>
      </x:c>
      <x:c r="J28" s="48" t="str">
        <x:v>sg-5af91148a912</x:v>
      </x:c>
      <x:c r="K28" s="48" t="str">
        <x:v>https://github.com/SKNETWORKS-FAMILY-AICAMP/SKN29-FINAL-4TEAM/blob/seunghyuk/data/synthetic/candidates/manual_3model_candidate_scenarios.json</x:v>
      </x:c>
      <x:c r="L28" s="48" t="str">
        <x:v>https://github.com/SKNETWORKS-FAMILY-AICAMP/SKN29-FINAL-4TEAM/blob/seunghyuk/portfolio_upgrade/data/splits/s04_reviewed_pilot_split_v2.csv</x:v>
      </x:c>
    </x:row>
    <x:row r="29" ht="76" customHeight="1">
      <x:c r="A29" s="50" t="str">
        <x:v>Dev</x:v>
      </x:c>
      <x:c r="B29" s="52" t="str">
        <x:v>SYN-JAC104-029</x:v>
      </x:c>
      <x:c r="C29" s="48" t="str">
        <x:v>JAC104 내부 누수·안전 조치</x:v>
      </x:c>
      <x:c r="D29" s="54" t="str">
        <x:v>정수기 안쪽에서 물이 흘러나와 제품 밑으로 계속 번지고 있습니다. 물받이 문제는 아닌 것 같아요.</x:v>
      </x:c>
      <x:c r="E29" s="48" t="str">
        <x:v>ESCALATE · 상담·안전 인계</x:v>
      </x:c>
      <x:c r="F29" s="48" t="str">
        <x:v>제품 누수 시 원수 밸브 잠금, 전원 플러그 분리, 고객상담센터 연락</x:v>
      </x:c>
      <x:c r="G29" s="48" t="str">
        <x:v>누수</x:v>
      </x:c>
      <x:c r="H29" s="48" t="str">
        <x:v>5;7;38</x:v>
      </x:c>
      <x:c r="I29" s="48" t="str">
        <x:v>특별한 보완 플래그 없음</x:v>
      </x:c>
      <x:c r="J29" s="48" t="str">
        <x:v>sg-c62fa3d9f96d</x:v>
      </x:c>
      <x:c r="K29" s="48" t="str">
        <x:v>https://github.com/SKNETWORKS-FAMILY-AICAMP/SKN29-FINAL-4TEAM/blob/seunghyuk/data/synthetic/candidates/manual_3model_candidate_scenarios.json</x:v>
      </x:c>
      <x:c r="L29" s="48" t="str">
        <x:v>https://github.com/SKNETWORKS-FAMILY-AICAMP/SKN29-FINAL-4TEAM/blob/seunghyuk/portfolio_upgrade/data/splits/s04_reviewed_pilot_split_v2.csv</x:v>
      </x:c>
    </x:row>
    <x:row r="30" ht="76" customHeight="1">
      <x:c r="A30" s="50" t="str">
        <x:v>Dev</x:v>
      </x:c>
      <x:c r="B30" s="52" t="str">
        <x:v>SYN-JAC104-030</x:v>
      </x:c>
      <x:c r="C30" s="48" t="str">
        <x:v>7일 부재 후 냄새</x:v>
      </x:c>
      <x:c r="D30" s="54" t="str">
        <x:v>7일 동안 집을 비운 뒤 냉수와 정수에서 평소와 다른 냄새가 납니다. 아직 마시지 않았어요.</x:v>
      </x:c>
      <x:c r="E30" s="48" t="str">
        <x:v>ANSWER · 바로 안내</x:v>
      </x:c>
      <x:c r="F30" s="48" t="str">
        <x:v>7일 부재: 냉수·정수·온수 각각 1L 이상 출수해 버린 후 사용</x:v>
      </x:c>
      <x:c r="G30" s="48" t="str">
        <x:v>맛·냄새</x:v>
      </x:c>
      <x:c r="H30" s="48" t="str">
        <x:v>38</x:v>
      </x:c>
      <x:c r="I30" s="48" t="str">
        <x:v>업무 상태는 PDF 근거 아님</x:v>
      </x:c>
      <x:c r="J30" s="48" t="str">
        <x:v>sg-6a9595cb650e</x:v>
      </x:c>
      <x:c r="K30" s="48" t="str">
        <x:v>https://github.com/SKNETWORKS-FAMILY-AICAMP/SKN29-FINAL-4TEAM/blob/seunghyuk/data/synthetic/candidates/manual_3model_candidate_scenarios.json</x:v>
      </x:c>
      <x:c r="L30" s="48" t="str">
        <x:v>https://github.com/SKNETWORKS-FAMILY-AICAMP/SKN29-FINAL-4TEAM/blob/seunghyuk/portfolio_upgrade/data/splits/s04_reviewed_pilot_split_v2.csv</x:v>
      </x:c>
    </x:row>
    <x:row r="31" ht="76" customHeight="1">
      <x:c r="A31" s="50" t="str">
        <x:v>Holdout</x:v>
      </x:c>
      <x:c r="B31" s="52" t="str">
        <x:v>SYN-JAC104-031</x:v>
      </x:c>
      <x:c r="C31" s="48" t="str">
        <x:v>온수 이상·음용 금지 안전 규칙</x:v>
      </x:c>
      <x:c r="D31" s="54" t="str">
        <x:v>LCD에 순간온수 모듈 점검이라고 표시됐고 컵에 물이 받아졌습니다. 이 물을 마셔도 되나요?</x:v>
      </x:c>
      <x:c r="E31" s="48" t="str">
        <x:v>ESCALATE · 상담·안전 인계</x:v>
      </x:c>
      <x:c r="F31" s="48" t="str">
        <x:v>순간온수 모듈 점검 표시: 출수된 물 음용 금지 + 상담센터 문의</x:v>
      </x:c>
      <x:c r="G31" s="48" t="str">
        <x:v>순간온수 안전</x:v>
      </x:c>
      <x:c r="H31" s="48" t="str">
        <x:v>39</x:v>
      </x:c>
      <x:c r="I31" s="48" t="str">
        <x:v>필수 안전 조치 누락 제안</x:v>
      </x:c>
      <x:c r="J31" s="48" t="str">
        <x:v>sg-7ca1e560390a</x:v>
      </x:c>
      <x:c r="K31" s="48" t="str">
        <x:v>https://github.com/SKNETWORKS-FAMILY-AICAMP/SKN29-FINAL-4TEAM/blob/seunghyuk/data/synthetic/candidates/manual_3model_candidate_scenarios.json</x:v>
      </x:c>
      <x:c r="L31" s="48" t="str">
        <x:v>https://github.com/SKNETWORKS-FAMILY-AICAMP/SKN29-FINAL-4TEAM/blob/seunghyuk/portfolio_upgrade/data/splits/s04_reviewed_pilot_split_v2.csv</x:v>
      </x:c>
    </x:row>
    <x:row r="32" ht="76" customHeight="1">
      <x:c r="A32" s="50" t="str">
        <x:v>Train</x:v>
      </x:c>
      <x:c r="B32" s="52" t="str">
        <x:v>SYN-JAC104-032</x:v>
      </x:c>
      <x:c r="C32" s="48" t="str">
        <x:v>JCC104 온수 기능 미지원</x:v>
      </x:c>
      <x:c r="D32" s="54" t="str">
        <x:v>제품에는 WPU-JCC104(D)라고 적혀 있는데 온수 버튼이 안 보여요. 온수를 나오게 하는 설정이 따로 있나요?</x:v>
      </x:c>
      <x:c r="E32" s="48" t="str">
        <x:v>EXPLAIN_UNSUPPORTED · 미지원 기능 설명</x:v>
      </x:c>
      <x:c r="F32" s="48" t="str">
        <x:v>JCC104(D) 모델은 온수 기능 없음; 제품 라벨 확인</x:v>
      </x:c>
      <x:c r="G32" s="48" t="str">
        <x:v>모델 기능 미지원</x:v>
      </x:c>
      <x:c r="H32" s="48" t="str">
        <x:v>13;15;30;40</x:v>
      </x:c>
      <x:c r="I32" s="48" t="str">
        <x:v>범위/미지원 판정 수정 제안</x:v>
      </x:c>
      <x:c r="J32" s="48" t="str">
        <x:v>sg-3603f63749fd</x:v>
      </x:c>
      <x:c r="K32" s="48" t="str">
        <x:v>https://github.com/SKNETWORKS-FAMILY-AICAMP/SKN29-FINAL-4TEAM/blob/seunghyuk/data/synthetic/candidates/manual_3model_candidate_scenarios.json</x:v>
      </x:c>
      <x:c r="L32" s="48" t="str">
        <x:v>https://github.com/SKNETWORKS-FAMILY-AICAMP/SKN29-FINAL-4TEAM/blob/seunghyuk/portfolio_upgrade/data/splits/s04_reviewed_pilot_split_v2.csv</x:v>
      </x:c>
    </x:row>
    <x:row r="33" ht="76" customHeight="1">
      <x:c r="A33" s="50" t="str">
        <x:v>Dev</x:v>
      </x:c>
      <x:c r="B33" s="52" t="str">
        <x:v>SYN-JAC104-033</x:v>
      </x:c>
      <x:c r="C33" s="48" t="str">
        <x:v>JAC104 제빙 기능 미지원</x:v>
      </x:c>
      <x:c r="D33" s="54" t="str">
        <x:v>WPU-JAC104에서 얼음이 안 나옵니다. 제빙 기능을 켜는 방법을 알려주세요.</x:v>
      </x:c>
      <x:c r="E33" s="48" t="str">
        <x:v>EXPLAIN_UNSUPPORTED · 미지원 기능 설명</x:v>
      </x:c>
      <x:c r="F33" s="48" t="str">
        <x:v>JAC104(D)에 제빙 기능이 없는 점 설명; 불가능한 조작 안내 금지</x:v>
      </x:c>
      <x:c r="G33" s="48" t="str">
        <x:v>제품 기능 미지원</x:v>
      </x:c>
      <x:c r="H33" s="48" t="str">
        <x:v>12;29;40</x:v>
      </x:c>
      <x:c r="I33" s="48" t="str">
        <x:v>범위/미지원 판정 수정 제안</x:v>
      </x:c>
      <x:c r="J33" s="48" t="str">
        <x:v>sg-b560e0cc2f2f</x:v>
      </x:c>
      <x:c r="K33" s="48" t="str">
        <x:v>https://github.com/SKNETWORKS-FAMILY-AICAMP/SKN29-FINAL-4TEAM/blob/seunghyuk/data/synthetic/candidates/manual_3model_candidate_scenarios.json</x:v>
      </x:c>
      <x:c r="L33" s="48" t="str">
        <x:v>https://github.com/SKNETWORKS-FAMILY-AICAMP/SKN29-FINAL-4TEAM/blob/seunghyuk/portfolio_upgrade/data/splits/s04_reviewed_pilot_split_v2.csv</x:v>
      </x:c>
    </x:row>
    <x:row r="34" ht="76" customHeight="1">
      <x:c r="A34" s="50" t="str">
        <x:v>Holdout</x:v>
      </x:c>
      <x:c r="B34" s="52" t="str">
        <x:v>SYN-JAC104-034</x:v>
      </x:c>
      <x:c r="C34" s="48" t="str">
        <x:v>직수관케어 작동 중 취소</x:v>
      </x:c>
      <x:c r="D34" s="54" t="str">
        <x:v>직수관케어를 시작했는데 시간이 걸려서 중간에 취소하고 싶습니다. 멈추는 방법이 있나요?</x:v>
      </x:c>
      <x:c r="E34" s="48" t="str">
        <x:v>ANSWER · 바로 안내</x:v>
      </x:c>
      <x:c r="F34" s="48" t="str">
        <x:v>작동 중 직수관케어는 취소 불가; 완료 후 다른 기능 이용 가능</x:v>
      </x:c>
      <x:c r="G34" s="48" t="str">
        <x:v>직수관케어</x:v>
      </x:c>
      <x:c r="H34" s="48" t="str">
        <x:v>23</x:v>
      </x:c>
      <x:c r="I34" s="48" t="str">
        <x:v>범위/미지원 판정 수정 제안</x:v>
      </x:c>
      <x:c r="J34" s="48" t="str">
        <x:v>sg-5b7feb29c1c6</x:v>
      </x:c>
      <x:c r="K34" s="48" t="str">
        <x:v>https://github.com/SKNETWORKS-FAMILY-AICAMP/SKN29-FINAL-4TEAM/blob/seunghyuk/data/synthetic/candidates/manual_3model_candidate_scenarios.json</x:v>
      </x:c>
      <x:c r="L34" s="48" t="str">
        <x:v>https://github.com/SKNETWORKS-FAMILY-AICAMP/SKN29-FINAL-4TEAM/blob/seunghyuk/portfolio_upgrade/data/splits/s04_reviewed_pilot_split_v2.csv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d9d5f631335443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13" hidden="0" customWidth="1"/>
    <x:col min="4" max="4" width="10" hidden="0" customWidth="1"/>
    <x:col min="5" max="5" width="75" hidden="0" customWidth="1"/>
    <x:col min="6" max="6" width="55" hidden="0" customWidth="1"/>
    <x:col min="7" max="7" width="55" hidden="0" customWidth="1"/>
  </x:cols>
  <x:sheetData>
    <x:row r="1" ht="32" customHeight="1">
      <x:c r="A1" s="40" t="str">
        <x:v>의미 그룹 16개 사전</x:v>
      </x:c>
      <x:c r="B1" s="40"/>
      <x:c r="C1" s="40"/>
      <x:c r="D1" s="40"/>
      <x:c r="E1" s="40"/>
      <x:c r="F1" s="40"/>
      <x:c r="G1" s="40"/>
    </x:row>
    <x:row r="2" ht="26" customHeight="1">
      <x:c r="A2" s="8" t="str">
        <x:v>'sg-...'는 임의 식별자. 해설 이름은 원본 사례·분할 이유를 바탕으로 추가한 가독성용 표현이며 공식 라벨이 아님.</x:v>
      </x:c>
      <x:c r="B2" s="8"/>
      <x:c r="C2" s="8"/>
      <x:c r="D2" s="8"/>
      <x:c r="E2" s="8"/>
      <x:c r="F2" s="8"/>
      <x:c r="G2" s="8"/>
    </x:row>
    <x:row r="4" ht="34" customHeight="1">
      <x:c r="A4" s="43" t="str">
        <x:v>그룹 ID (= group_id)</x:v>
      </x:c>
      <x:c r="B4" s="43" t="str">
        <x:v>이해용 그룹 이름</x:v>
      </x:c>
      <x:c r="C4" s="43" t="str">
        <x:v>분할</x:v>
      </x:c>
      <x:c r="D4" s="43" t="str">
        <x:v>건수</x:v>
      </x:c>
      <x:c r="E4" s="43" t="str">
        <x:v>포함된 시나리오 ID</x:v>
      </x:c>
      <x:c r="F4" s="43" t="str">
        <x:v>왜 함께 묶였나(해설)</x:v>
      </x:c>
      <x:c r="G4" s="43" t="str">
        <x:v>특히 주의할 점</x:v>
      </x:c>
    </x:row>
    <x:row r="5" ht="67" customHeight="1">
      <x:c r="A5" s="48" t="str">
        <x:v>sg-ef6b56fea3f1</x:v>
      </x:c>
      <x:c r="B5" s="48" t="str">
        <x:v>냉수가 미지근함: 일시적·지속적</x:v>
      </x:c>
      <x:c r="C5" s="48" t="str">
        <x:v>Train</x:v>
      </x:c>
      <x:c r="D5" s="48" t="n">
        <x:f>COUNTIF('30건 시나리오'!$J$5:$J$34,A5)</x:f>
        <x:v>6</x:v>
      </x:c>
      <x:c r="E5" s="48" t="str">
        <x:v>SYN-IAC425-102 / SYN-IAC425-103 / SYN-IAC606-102 / SYN-IAC606-103 / SYN-JAC104-026 / SYN-JAC104-027</x:v>
      </x:c>
      <x:c r="F5" s="48" t="str">
        <x:v>공식 근거 텍스트를 공유하는 냉수 온도 관련 사례를 함께 배치</x:v>
      </x:c>
      <x:c r="G5" s="48" t="str">
        <x:v>ANSWER와 ESCALATE가 섞임. 같은 그룹이 같은 행동은 아님</x:v>
      </x:c>
    </x:row>
    <x:row r="6" ht="67" customHeight="1">
      <x:c r="A6" s="48" t="str">
        <x:v>sg-f9124d23a1c5</x:v>
      </x:c>
      <x:c r="B6" s="48" t="str">
        <x:v>냉수 잠금·표시등 점멸</x:v>
      </x:c>
      <x:c r="C6" s="48" t="str">
        <x:v>Train</x:v>
      </x:c>
      <x:c r="D6" s="48" t="n">
        <x:f>COUNTIF('30건 시나리오'!$J$5:$J$34,A6)</x:f>
        <x:v>2</x:v>
      </x:c>
      <x:c r="E6" s="48" t="str">
        <x:v>SYN-IAC425-101 / SYN-IAC606-101</x:v>
      </x:c>
      <x:c r="F6" s="48" t="str">
        <x:v>다른 모델에서 동일한 냉수 잠금 메커니즘이 등장</x:v>
      </x:c>
      <x:c r="G6" s="48" t="str">
        <x:v>모델별 잠금 해제 안내는 별도 확인</x:v>
      </x:c>
    </x:row>
    <x:row r="7" ht="67" customHeight="1">
      <x:c r="A7" s="48" t="str">
        <x:v>sg-9c822fb31d16</x:v>
      </x:c>
      <x:c r="B7" s="48" t="str">
        <x:v>누수·반복 경고음: IAC 계열</x:v>
      </x:c>
      <x:c r="C7" s="48" t="str">
        <x:v>Train</x:v>
      </x:c>
      <x:c r="D7" s="48" t="n">
        <x:f>COUNTIF('30건 시나리오'!$J$5:$J$34,A7)</x:f>
        <x:v>2</x:v>
      </x:c>
      <x:c r="E7" s="48" t="str">
        <x:v>SYN-IAC425-108 / SYN-IAC606-107</x:v>
      </x:c>
      <x:c r="F7" s="48" t="str">
        <x:v>동일한 공식 근거 텍스트를 공유하는 누수 대응</x:v>
      </x:c>
      <x:c r="G7" s="48" t="str">
        <x:v>JAC104 누수는 전원 플러그 분리 등 조치가 달라 별도 그룹</x:v>
      </x:c>
    </x:row>
    <x:row r="8" ht="67" customHeight="1">
      <x:c r="A8" s="48" t="str">
        <x:v>sg-9a4beeef51f2</x:v>
      </x:c>
      <x:c r="B8" s="48" t="str">
        <x:v>얼음 생성·기기 소음</x:v>
      </x:c>
      <x:c r="C8" s="48" t="str">
        <x:v>Train</x:v>
      </x:c>
      <x:c r="D8" s="48" t="n">
        <x:f>COUNTIF('30건 시나리오'!$J$5:$J$34,A8)</x:f>
        <x:v>2</x:v>
      </x:c>
      <x:c r="E8" s="48" t="str">
        <x:v>SYN-IAC425-104 / SYN-IAC606-104</x:v>
      </x:c>
      <x:c r="F8" s="48" t="str">
        <x:v>공식 근거 문구가 겹치는 제빙/소음 사례를 함께 배치</x:v>
      </x:c>
      <x:c r="G8" s="48" t="str">
        <x:v>한 사례는 ANSWER, 다른 사례는 ASK</x:v>
      </x:c>
    </x:row>
    <x:row r="9" ht="67" customHeight="1">
      <x:c r="A9" s="48" t="str">
        <x:v>sg-2ce56ae10f52</x:v>
      </x:c>
      <x:c r="B9" s="48" t="str">
        <x:v>제품별 버튼 명칭 불일치</x:v>
      </x:c>
      <x:c r="C9" s="48" t="str">
        <x:v>Train</x:v>
      </x:c>
      <x:c r="D9" s="48" t="n">
        <x:f>COUNTIF('30건 시나리오'!$J$5:$J$34,A9)</x:f>
        <x:v>2</x:v>
      </x:c>
      <x:c r="E9" s="48" t="str">
        <x:v>SYN-IAC425-110 / SYN-IAC606-110</x:v>
      </x:c>
      <x:c r="F9" s="48" t="str">
        <x:v>서로 다른 모델 버튼을 잘못 지칭하는 문제 유형</x:v>
      </x:c>
      <x:c r="G9" s="48" t="str">
        <x:v>IAC425 [물]과 IAC606 [출수/출빙]을 혼동하면 안 됨</x:v>
      </x:c>
    </x:row>
    <x:row r="10" ht="67" customHeight="1">
      <x:c r="A10" s="48" t="str">
        <x:v>sg-88395b8d1b1a</x:v>
      </x:c>
      <x:c r="B10" s="48" t="str">
        <x:v>12일 부재 후 맛·냄새</x:v>
      </x:c>
      <x:c r="C10" s="48" t="str">
        <x:v>Train</x:v>
      </x:c>
      <x:c r="D10" s="48" t="n">
        <x:f>COUNTIF('30건 시나리오'!$J$5:$J$34,A10)</x:f>
        <x:v>1</x:v>
      </x:c>
      <x:c r="E10" s="48" t="str">
        <x:v>SYN-IAC606-109</x:v>
      </x:c>
      <x:c r="F10" s="48" t="str">
        <x:v>독립 원문 근거를 가진 장기 부재 후 물 맛·냄새</x:v>
      </x:c>
      <x:c r="G10" s="48" t="str">
        <x:v>7일 부재 사례와 필요한 조치가 다름</x:v>
      </x:c>
    </x:row>
    <x:row r="11" ht="67" customHeight="1">
      <x:c r="A11" s="48" t="str">
        <x:v>sg-3603f63749fd</x:v>
      </x:c>
      <x:c r="B11" s="48" t="str">
        <x:v>JCC104 온수 기능 미지원</x:v>
      </x:c>
      <x:c r="C11" s="48" t="str">
        <x:v>Train</x:v>
      </x:c>
      <x:c r="D11" s="48" t="n">
        <x:f>COUNTIF('30건 시나리오'!$J$5:$J$34,A11)</x:f>
        <x:v>1</x:v>
      </x:c>
      <x:c r="E11" s="48" t="str">
        <x:v>SYN-JAC104-032</x:v>
      </x:c>
      <x:c r="F11" s="48" t="str">
        <x:v>모델별 지원 기능의 부재를 설명하는 별도 사례</x:v>
      </x:c>
      <x:c r="G11" s="48" t="str">
        <x:v>원문에는 모델 기능 범위가 있으나 오프라인 인덱스의 범위와 혼동 금지</x:v>
      </x:c>
    </x:row>
    <x:row r="12" ht="67" customHeight="1">
      <x:c r="A12" s="48" t="str">
        <x:v>sg-5af91148a912</x:v>
      </x:c>
      <x:c r="B12" s="48" t="str">
        <x:v>윙·툭·물 흐르는 소리</x:v>
      </x:c>
      <x:c r="C12" s="48" t="str">
        <x:v>Train</x:v>
      </x:c>
      <x:c r="D12" s="48" t="n">
        <x:f>COUNTIF('30건 시나리오'!$J$5:$J$34,A12)</x:f>
        <x:v>1</x:v>
      </x:c>
      <x:c r="E12" s="48" t="str">
        <x:v>SYN-JAC104-028</x:v>
      </x:c>
      <x:c r="F12" s="48" t="str">
        <x:v>해당 JAC104 소음 근거 텍스트가 다른 그룹과 동일하지 않음</x:v>
      </x:c>
      <x:c r="G12" s="48" t="str">
        <x:v>소리의 크기·지속 시간을 더 물어야 하는 ASK</x:v>
      </x:c>
    </x:row>
    <x:row r="13" ht="67" customHeight="1">
      <x:c r="A13" s="48" t="str">
        <x:v>sg-524becf0fd6e</x:v>
      </x:c>
      <x:c r="B13" s="48" t="str">
        <x:v>조리수 동시 사용에 따른 저출수</x:v>
      </x:c>
      <x:c r="C13" s="48" t="str">
        <x:v>Train</x:v>
      </x:c>
      <x:c r="D13" s="48" t="n">
        <x:f>COUNTIF('30건 시나리오'!$J$5:$J$34,A13)</x:f>
        <x:v>1</x:v>
      </x:c>
      <x:c r="E13" s="48" t="str">
        <x:v>SYN-IAC425-106</x:v>
      </x:c>
      <x:c r="F13" s="48" t="str">
        <x:v>다른 사례와 정확한 근거 텍스트가 겹치지 않아 독립 그룹</x:v>
      </x:c>
      <x:c r="G13" s="48" t="str">
        <x:v>단순히 '유일'하다는 사실이 모든 의미 중복 제거의 증거는 아님</x:v>
      </x:c>
    </x:row>
    <x:row r="14" ht="67" customHeight="1">
      <x:c r="A14" s="48" t="str">
        <x:v>sg-95f2ae21531a</x:v>
      </x:c>
      <x:c r="B14" s="48" t="str">
        <x:v>갑작스러운 전체 무출수</x:v>
      </x:c>
      <x:c r="C14" s="48" t="str">
        <x:v>Dev</x:v>
      </x:c>
      <x:c r="D14" s="48" t="n">
        <x:f>COUNTIF('30건 시나리오'!$J$5:$J$34,A14)</x:f>
        <x:v>3</x:v>
      </x:c>
      <x:c r="E14" s="48" t="str">
        <x:v>SYN-IAC425-105 / SYN-IAC606-105 / SYN-JAC104-025</x:v>
      </x:c>
      <x:c r="F14" s="48" t="str">
        <x:v>원인 확인 전인 전체 미출수 문의와 근거 텍스트가 중복</x:v>
      </x:c>
      <x:c r="G14" s="48" t="str">
        <x:v>Dev에서 3개 제품이 공유한 평가 유형</x:v>
      </x:c>
    </x:row>
    <x:row r="15" ht="67" customHeight="1">
      <x:c r="A15" s="48" t="str">
        <x:v>sg-6a9595cb650e</x:v>
      </x:c>
      <x:c r="B15" s="48" t="str">
        <x:v>7일 부재 후 냄새</x:v>
      </x:c>
      <x:c r="C15" s="48" t="str">
        <x:v>Dev</x:v>
      </x:c>
      <x:c r="D15" s="48" t="n">
        <x:f>COUNTIF('30건 시나리오'!$J$5:$J$34,A15)</x:f>
        <x:v>1</x:v>
      </x:c>
      <x:c r="E15" s="48" t="str">
        <x:v>SYN-JAC104-030</x:v>
      </x:c>
      <x:c r="F15" s="48" t="str">
        <x:v>부재 기간과 조치 조건이 다른 맛·냄새 사례</x:v>
      </x:c>
      <x:c r="G15" s="48" t="str">
        <x:v>12일 부재 건과 합치지 말고 조건을 구분</x:v>
      </x:c>
    </x:row>
    <x:row r="16" ht="67" customHeight="1">
      <x:c r="A16" s="48" t="str">
        <x:v>sg-c62fa3d9f96d</x:v>
      </x:c>
      <x:c r="B16" s="48" t="str">
        <x:v>JAC104 내부 누수·안전 조치</x:v>
      </x:c>
      <x:c r="C16" s="48" t="str">
        <x:v>Dev</x:v>
      </x:c>
      <x:c r="D16" s="48" t="n">
        <x:f>COUNTIF('30건 시나리오'!$J$5:$J$34,A16)</x:f>
        <x:v>1</x:v>
      </x:c>
      <x:c r="E16" s="48" t="str">
        <x:v>SYN-JAC104-029</x:v>
      </x:c>
      <x:c r="F16" s="48" t="str">
        <x:v>IAC 계열 누수와 원문/필수 조치가 달라 별도 그룹</x:v>
      </x:c>
      <x:c r="G16" s="48" t="str">
        <x:v>원수 밸브 잠금 + 플러그 분리 + 상담 연락</x:v>
      </x:c>
    </x:row>
    <x:row r="17" ht="67" customHeight="1">
      <x:c r="A17" s="48" t="str">
        <x:v>sg-b560e0cc2f2f</x:v>
      </x:c>
      <x:c r="B17" s="48" t="str">
        <x:v>JAC104 제빙 기능 미지원</x:v>
      </x:c>
      <x:c r="C17" s="48" t="str">
        <x:v>Dev</x:v>
      </x:c>
      <x:c r="D17" s="48" t="n">
        <x:f>COUNTIF('30건 시나리오'!$J$5:$J$34,A17)</x:f>
        <x:v>1</x:v>
      </x:c>
      <x:c r="E17" s="48" t="str">
        <x:v>SYN-JAC104-033</x:v>
      </x:c>
      <x:c r="F17" s="48" t="str">
        <x:v>제빙 기능이 없는 제품에 대한 질문</x:v>
      </x:c>
      <x:c r="G17" s="48" t="str">
        <x:v>제빙 방법을 지어내면 안 됨</x:v>
      </x:c>
    </x:row>
    <x:row r="18" ht="67" customHeight="1">
      <x:c r="A18" s="48" t="str">
        <x:v>sg-7ca1e560390a</x:v>
      </x:c>
      <x:c r="B18" s="48" t="str">
        <x:v>온수 이상·음용 금지 안전 규칙</x:v>
      </x:c>
      <x:c r="C18" s="48" t="str">
        <x:v>Holdout</x:v>
      </x:c>
      <x:c r="D18" s="48" t="n">
        <x:f>COUNTIF('30건 시나리오'!$J$5:$J$34,A18)</x:f>
        <x:v>3</x:v>
      </x:c>
      <x:c r="E18" s="48" t="str">
        <x:v>SYN-IAC425-109 / SYN-IAC606-108 / SYN-JAC104-031</x:v>
      </x:c>
      <x:c r="F18" s="48" t="str">
        <x:v>빨간 표시/온수 모듈 이상에서 '출수된 물 음용 금지' 공통</x:v>
      </x:c>
      <x:c r="G18" s="48" t="str">
        <x:v>위험 사례이므로 일반 안내보다 안전 조치 우선</x:v>
      </x:c>
    </x:row>
    <x:row r="19" ht="67" customHeight="1">
      <x:c r="A19" s="48" t="str">
        <x:v>sg-324a538e9589</x:v>
      </x:c>
      <x:c r="B19" s="48" t="str">
        <x:v>얼음이 안 나옴·소진 가능성</x:v>
      </x:c>
      <x:c r="C19" s="48" t="str">
        <x:v>Holdout</x:v>
      </x:c>
      <x:c r="D19" s="48" t="n">
        <x:f>COUNTIF('30건 시나리오'!$J$5:$J$34,A19)</x:f>
        <x:v>2</x:v>
      </x:c>
      <x:c r="E19" s="48" t="str">
        <x:v>SYN-IAC425-107 / SYN-IAC606-106</x:v>
      </x:c>
      <x:c r="F19" s="48" t="str">
        <x:v>얼음 소진/설정/급수 확인이 공통인 시나리오</x:v>
      </x:c>
      <x:c r="G19" s="48" t="str">
        <x:v>Holdout의 두 모델에 같은 상황이 배치됨</x:v>
      </x:c>
    </x:row>
    <x:row r="20" ht="67" customHeight="1">
      <x:c r="A20" s="48" t="str">
        <x:v>sg-5b7feb29c1c6</x:v>
      </x:c>
      <x:c r="B20" s="48" t="str">
        <x:v>직수관케어 작동 중 취소</x:v>
      </x:c>
      <x:c r="C20" s="48" t="str">
        <x:v>Holdout</x:v>
      </x:c>
      <x:c r="D20" s="48" t="n">
        <x:f>COUNTIF('30건 시나리오'!$J$5:$J$34,A20)</x:f>
        <x:v>1</x:v>
      </x:c>
      <x:c r="E20" s="48" t="str">
        <x:v>SYN-JAC104-034</x:v>
      </x:c>
      <x:c r="F20" s="48" t="str">
        <x:v>직수관케어 기능과 취소 가능 여부에 관한 단독 사례</x:v>
      </x:c>
      <x:c r="G20" s="48" t="str">
        <x:v>중단 명령을 만들어 내지 않고 매뉴얼 조건대로 답변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d37066244524cf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89" hidden="0" customWidth="1"/>
    <x:col min="4" max="4" width="34" hidden="0" customWidth="1"/>
  </x:cols>
  <x:sheetData>
    <x:row r="1" ht="34" customHeight="1">
      <x:c r="A1" s="40" t="str">
        <x:v>컬럼·행동·오류 플래그 사전</x:v>
      </x:c>
      <x:c r="B1" s="40"/>
      <x:c r="C1" s="40"/>
      <x:c r="D1" s="40"/>
    </x:row>
    <x:row r="3" ht="30" customHeight="1">
      <x:c r="A3" s="42" t="str">
        <x:v>항목</x:v>
      </x:c>
      <x:c r="B3" s="42" t="str">
        <x:v>원본 이름</x:v>
      </x:c>
      <x:c r="C3" s="42" t="str">
        <x:v>뜻</x:v>
      </x:c>
      <x:c r="D3" s="42" t="str">
        <x:v>어디에서 가져왔는가</x:v>
      </x:c>
    </x:row>
    <x:row r="4" ht="48" customHeight="1">
      <x:c r="A4" s="48" t="str">
        <x:v>분할</x:v>
      </x:c>
      <x:c r="B4" s="48" t="str">
        <x:v>split</x:v>
      </x:c>
      <x:c r="C4" s="48" t="str">
        <x:v>Train = 학습, Dev = 개선 중 평가, Holdout = 설정 고정 후 검증</x:v>
      </x:c>
      <x:c r="D4" s="48" t="str">
        <x:v>S04 분할 CSV</x:v>
      </x:c>
    </x:row>
    <x:row r="5" ht="48" customHeight="1">
      <x:c r="A5" s="48" t="str">
        <x:v>시나리오 ID</x:v>
      </x:c>
      <x:c r="B5" s="48" t="str">
        <x:v>scenario_id</x:v>
      </x:c>
      <x:c r="C5" s="48" t="str">
        <x:v>원본 자료 2개를 연결하는 공통 키</x:v>
      </x:c>
      <x:c r="D5" s="48" t="str">
        <x:v>S04 CSV / 합성 시나리오 JSON</x:v>
      </x:c>
    </x:row>
    <x:row r="6" ht="48" customHeight="1">
      <x:c r="A6" s="48" t="str">
        <x:v>실제 고객 발화</x:v>
      </x:c>
      <x:c r="B6" s="48" t="str">
        <x:v>request.raw_symptom</x:v>
      </x:c>
      <x:c r="C6" s="48" t="str">
        <x:v>실제 고객 데이터가 아니라 합성해 만든 고객 문의 문장</x:v>
      </x:c>
      <x:c r="D6" s="48" t="str">
        <x:v>원본 합성 시나리오 JSON</x:v>
      </x:c>
    </x:row>
    <x:row r="7" ht="48" customHeight="1">
      <x:c r="A7" s="48" t="str">
        <x:v>문의 유형</x:v>
      </x:c>
      <x:c r="B7" s="48" t="str">
        <x:v>family</x:v>
      </x:c>
      <x:c r="C7" s="48" t="str">
        <x:v>증상의 큰 범주(예: NO_WATER, LEAK)</x:v>
      </x:c>
      <x:c r="D7" s="48" t="str">
        <x:v>S04 분할 CSV</x:v>
      </x:c>
    </x:row>
    <x:row r="8" ht="48" customHeight="1">
      <x:c r="A8" s="48" t="str">
        <x:v>제품</x:v>
      </x:c>
      <x:c r="B8" s="48" t="str">
        <x:v>model_code</x:v>
      </x:c>
      <x:c r="C8" s="48" t="str">
        <x:v>정확한 제품 판매코드</x:v>
      </x:c>
      <x:c r="D8" s="48" t="str">
        <x:v>S04 분할 CSV</x:v>
      </x:c>
    </x:row>
    <x:row r="9" ht="48" customHeight="1">
      <x:c r="A9" s="48" t="str">
        <x:v>행동 정답</x:v>
      </x:c>
      <x:c r="B9" s="48" t="str">
        <x:v>intended_oracle_action</x:v>
      </x:c>
      <x:c r="C9" s="48" t="str">
        <x:v>기대하는 응대 행동. 운영 성공/고객 해결 여부와 다름</x:v>
      </x:c>
      <x:c r="D9" s="48" t="str">
        <x:v>S04 분할 CSV</x:v>
      </x:c>
    </x:row>
    <x:row r="10" ht="48" customHeight="1">
      <x:c r="A10" s="48" t="str">
        <x:v>정답 필수 조치</x:v>
      </x:c>
      <x:c r="B10" s="48" t="str">
        <x:v>required_actions_from_pdf</x:v>
      </x:c>
      <x:c r="C10" s="48" t="str">
        <x:v>원본 PDF 대조 기록에 근거한 핵심 안내</x:v>
      </x:c>
      <x:c r="D10" s="48" t="str">
        <x:v>S04 분할 CSV</x:v>
      </x:c>
    </x:row>
    <x:row r="11" ht="48" customHeight="1">
      <x:c r="A11" s="48" t="str">
        <x:v>그룹 ID</x:v>
      </x:c>
      <x:c r="B11" s="48" t="str">
        <x:v>group_id</x:v>
      </x:c>
      <x:c r="C11" s="48" t="str">
        <x:v>아래 semantic_group_id와 동일하게 기록된 그룹 식별자</x:v>
      </x:c>
      <x:c r="D11" s="48" t="str">
        <x:v>S04 분할 CSV</x:v>
      </x:c>
    </x:row>
    <x:row r="12" ht="48" customHeight="1">
      <x:c r="A12" s="48" t="str">
        <x:v>그룹 ID</x:v>
      </x:c>
      <x:c r="B12" s="48" t="str">
        <x:v>semantic_group_id</x:v>
      </x:c>
      <x:c r="C12" s="48" t="str">
        <x:v>학습·평가 누출 방지를 위한 관련 사례 묶음</x:v>
      </x:c>
      <x:c r="D12" s="48" t="str">
        <x:v>S04 분할 CSV</x:v>
      </x:c>
    </x:row>
    <x:row r="13" ht="48" customHeight="1">
      <x:c r="A13" s="48" t="str">
        <x:v>묶인 이유</x:v>
      </x:c>
      <x:c r="B13" s="48" t="str">
        <x:v>grouping_reason</x:v>
      </x:c>
      <x:c r="C13" s="48" t="str">
        <x:v>동일 근거 문장 또는 유사 상황 등 분할 사유 코드</x:v>
      </x:c>
      <x:c r="D13" s="48" t="str">
        <x:v>S04 분할 CSV</x:v>
      </x:c>
    </x:row>
    <x:row r="14" ht="48" customHeight="1">
      <x:c r="A14" s="48" t="str">
        <x:v>페이지</x:v>
      </x:c>
      <x:c r="B14" s="48" t="str">
        <x:v>pdf_review_pages</x:v>
      </x:c>
      <x:c r="C14" s="48" t="str">
        <x:v>공식 설명서에서 대조한 페이지 번호</x:v>
      </x:c>
      <x:c r="D14" s="48" t="str">
        <x:v>S04 분할 CSV</x:v>
      </x:c>
    </x:row>
    <x:row r="15" ht="48" customHeight="1">
      <x:c r="A15" s="48" t="str">
        <x:v>검토 플래그</x:v>
      </x:c>
      <x:c r="B15" s="48" t="str">
        <x:v>source_issue</x:v>
      </x:c>
      <x:c r="C15" s="48" t="str">
        <x:v>평가 정답/원본 근거 검토에 관한 보완 의견 코드</x:v>
      </x:c>
      <x:c r="D15" s="48" t="str">
        <x:v>S04 분할 CSV</x:v>
      </x:c>
    </x:row>
    <x:row r="16" ht="48" customHeight="1">
      <x:c r="A16" s="48" t="str">
        <x:v>바로 안내</x:v>
      </x:c>
      <x:c r="B16" s="48" t="str">
        <x:v>ANSWER</x:v>
      </x:c>
      <x:c r="C16" s="48" t="str">
        <x:v>조건과 근거가 충분해 직접 설명</x:v>
      </x:c>
      <x:c r="D16" s="48" t="str">
        <x:v>intended_oracle_action</x:v>
      </x:c>
    </x:row>
    <x:row r="17" ht="48" customHeight="1">
      <x:c r="A17" s="48" t="str">
        <x:v>추가 질문</x:v>
      </x:c>
      <x:c r="B17" s="48" t="str">
        <x:v>ASK</x:v>
      </x:c>
      <x:c r="C17" s="48" t="str">
        <x:v>정보가 부족해 질문으로 조건을 더 확인</x:v>
      </x:c>
      <x:c r="D17" s="48" t="str">
        <x:v>intended_oracle_action</x:v>
      </x:c>
    </x:row>
    <x:row r="18" ht="48" customHeight="1">
      <x:c r="A18" s="48" t="str">
        <x:v>상담·안전 인계</x:v>
      </x:c>
      <x:c r="B18" s="48" t="str">
        <x:v>ESCALATE</x:v>
      </x:c>
      <x:c r="C18" s="48" t="str">
        <x:v>위험하거나 직접 해결이 어려워 상담 연결</x:v>
      </x:c>
      <x:c r="D18" s="48" t="str">
        <x:v>intended_oracle_action</x:v>
      </x:c>
    </x:row>
    <x:row r="19" ht="48" customHeight="1">
      <x:c r="A19" s="48" t="str">
        <x:v>안내 후 확인</x:v>
      </x:c>
      <x:c r="B19" s="48" t="str">
        <x:v>ANSWER_THEN_CONFIRM</x:v>
      </x:c>
      <x:c r="C19" s="48" t="str">
        <x:v>단계 안내 후 상태를 확인하는 기존 라벨</x:v>
      </x:c>
      <x:c r="D19" s="48" t="str">
        <x:v>intended_oracle_action</x:v>
      </x:c>
    </x:row>
    <x:row r="20" ht="48" customHeight="1">
      <x:c r="A20" s="48" t="str">
        <x:v>미지원 기능 설명</x:v>
      </x:c>
      <x:c r="B20" s="48" t="str">
        <x:v>EXPLAIN_UNSUPPORTED</x:v>
      </x:c>
      <x:c r="C20" s="48" t="str">
        <x:v>제품에서 지원하지 않는 기능을 설명하는 기존 라벨</x:v>
      </x:c>
      <x:c r="D20" s="48" t="str">
        <x:v>intended_oracle_action</x:v>
      </x:c>
    </x:row>
    <x:row r="21" ht="48" customHeight="1">
      <x:c r="A21" s="48" t="str">
        <x:v>검증 주의</x:v>
      </x:c>
      <x:c r="B21" s="48" t="str">
        <x:v>UNIQUE_BY_EXACT_HASH</x:v>
      </x:c>
      <x:c r="C21" s="48" t="str">
        <x:v>원문 텍스트의 완전 중복이 없다는 근거. 의미 중복까지 없다는 보장은 아님</x:v>
      </x:c>
      <x:c r="D21" s="48" t="str">
        <x:v>grouping_reason</x:v>
      </x:c>
    </x:row>
    <x:row r="22" ht="48" customHeight="1">
      <x:c r="A22" s="48" t="str">
        <x:v>검증 주의</x:v>
      </x:c>
      <x:c r="B22" s="48" t="str">
        <x:v>IDENTICAL_EVIDENCE_TEXT</x:v>
      </x:c>
      <x:c r="C22" s="48" t="str">
        <x:v>근거 텍스트 중복 → 서로 다른 분할에 두면 누출 위험</x:v>
      </x:c>
      <x:c r="D22" s="48" t="str">
        <x:v>grouping_reason</x:v>
      </x:c>
    </x:row>
    <x:row r="23" ht="48" customHeight="1">
      <x:c r="A23" s="48" t="str">
        <x:v>엑셀 헤더 주의</x:v>
      </x:c>
      <x:c r="B23" s="48" t="str">
        <x:v>manual_answerable</x:v>
      </x:c>
      <x:c r="C23" s="48" t="str">
        <x:v>원본 CSV에 같은 이름의 열이 두 번 있음. 변환 시 두 열 값 비교 필요</x:v>
      </x:c>
      <x:c r="D23" s="48" t="str">
        <x:v>S04 분할 CSV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5aece5fa0a44eca"/>
  </x:tableParts>
</x:worksheet>
</file>